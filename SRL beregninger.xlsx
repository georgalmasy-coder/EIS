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IS\"/>
    </mc:Choice>
  </mc:AlternateContent>
  <xr:revisionPtr revIDLastSave="0" documentId="13_ncr:1_{17FE312E-E25C-44A9-9347-3D4825D53001}" xr6:coauthVersionLast="45" xr6:coauthVersionMax="45" xr10:uidLastSave="{00000000-0000-0000-0000-000000000000}"/>
  <bookViews>
    <workbookView minimized="1" xWindow="912" yWindow="420" windowWidth="17856" windowHeight="10452" xr2:uid="{3747E0C6-E949-4939-A346-DDD861BC4015}"/>
  </bookViews>
  <sheets>
    <sheet name="SRL beregninger" sheetId="2" r:id="rId1"/>
    <sheet name="SRL Transition Model" sheetId="3" r:id="rId2"/>
    <sheet name="Test data" sheetId="4" r:id="rId3"/>
    <sheet name="SRL Test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2" l="1"/>
  <c r="P20" i="2"/>
  <c r="AN48" i="5" l="1"/>
  <c r="P15" i="3" l="1"/>
  <c r="Q15" i="3"/>
  <c r="R15" i="3"/>
  <c r="S15" i="3"/>
  <c r="T15" i="3"/>
  <c r="U15" i="3"/>
  <c r="V15" i="3"/>
  <c r="W15" i="3"/>
  <c r="X15" i="3"/>
  <c r="O15" i="3"/>
  <c r="AB4" i="2" l="1"/>
  <c r="AB5" i="2"/>
  <c r="AB6" i="2"/>
  <c r="Q3" i="3" s="1"/>
  <c r="AB7" i="2"/>
  <c r="AB8" i="2"/>
  <c r="AB9" i="2"/>
  <c r="AB10" i="2"/>
  <c r="AB11" i="2"/>
  <c r="AB12" i="2"/>
  <c r="W3" i="3" s="1"/>
  <c r="AB13" i="2"/>
  <c r="U3" i="3"/>
  <c r="X3" i="3"/>
  <c r="X6" i="3" s="1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J65" i="5" s="1" a="1"/>
  <c r="AJ65" i="5" s="1"/>
  <c r="AK65" i="5" s="1"/>
  <c r="AL65" i="5" s="1"/>
  <c r="AC65" i="5"/>
  <c r="AD65" i="5"/>
  <c r="AE65" i="5"/>
  <c r="AF65" i="5"/>
  <c r="AG65" i="5"/>
  <c r="AH65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J66" i="5" s="1" a="1"/>
  <c r="AJ66" i="5" s="1"/>
  <c r="AK66" i="5" s="1"/>
  <c r="AL66" i="5" s="1"/>
  <c r="AD66" i="5"/>
  <c r="AE66" i="5"/>
  <c r="AF66" i="5"/>
  <c r="AG66" i="5"/>
  <c r="AH66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J67" i="5" s="1" a="1"/>
  <c r="AJ67" i="5" s="1"/>
  <c r="AK67" i="5" s="1"/>
  <c r="AL67" i="5" s="1"/>
  <c r="AE67" i="5"/>
  <c r="AF67" i="5"/>
  <c r="AG67" i="5"/>
  <c r="AH67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J68" i="5" s="1" a="1"/>
  <c r="AJ68" i="5" s="1"/>
  <c r="AK68" i="5" s="1"/>
  <c r="AL68" i="5" s="1"/>
  <c r="AF68" i="5"/>
  <c r="AG68" i="5"/>
  <c r="AH68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J69" i="5" s="1" a="1"/>
  <c r="AJ69" i="5" s="1"/>
  <c r="AK69" i="5" s="1"/>
  <c r="AL69" i="5" s="1"/>
  <c r="AG69" i="5"/>
  <c r="AH69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J71" i="5" s="1" a="1"/>
  <c r="AJ71" i="5" s="1"/>
  <c r="AK71" i="5" s="1"/>
  <c r="AL71" i="5" s="1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J41" i="5" s="1" a="1"/>
  <c r="AJ41" i="5" s="1"/>
  <c r="AK41" i="5" s="1"/>
  <c r="AL41" i="5" s="1"/>
  <c r="AH39" i="5"/>
  <c r="C39" i="5"/>
  <c r="S12" i="3"/>
  <c r="V3" i="3"/>
  <c r="T3" i="3"/>
  <c r="S3" i="3"/>
  <c r="R3" i="3"/>
  <c r="P3" i="3"/>
  <c r="P6" i="3" s="1"/>
  <c r="O3" i="3"/>
  <c r="D4" i="3"/>
  <c r="D5" i="3"/>
  <c r="D6" i="3"/>
  <c r="D7" i="3"/>
  <c r="E6" i="3" s="1"/>
  <c r="F6" i="3" s="1"/>
  <c r="D8" i="3"/>
  <c r="D9" i="3"/>
  <c r="D10" i="3"/>
  <c r="D11" i="3"/>
  <c r="D12" i="3"/>
  <c r="E11" i="3" s="1"/>
  <c r="P67" i="2"/>
  <c r="D67" i="2"/>
  <c r="E67" i="2" s="1"/>
  <c r="P66" i="2"/>
  <c r="D66" i="2"/>
  <c r="Q66" i="2" s="1"/>
  <c r="P61" i="2"/>
  <c r="D61" i="2"/>
  <c r="Q61" i="2" s="1"/>
  <c r="P60" i="2"/>
  <c r="D60" i="2"/>
  <c r="E60" i="2" s="1"/>
  <c r="P55" i="2"/>
  <c r="D55" i="2"/>
  <c r="Q55" i="2" s="1"/>
  <c r="P54" i="2"/>
  <c r="D54" i="2"/>
  <c r="Q54" i="2" s="1"/>
  <c r="P49" i="2"/>
  <c r="D49" i="2"/>
  <c r="Q49" i="2" s="1"/>
  <c r="Q48" i="2"/>
  <c r="P48" i="2"/>
  <c r="E48" i="2"/>
  <c r="R48" i="2" s="1"/>
  <c r="D48" i="2"/>
  <c r="P43" i="2"/>
  <c r="D43" i="2"/>
  <c r="Q43" i="2" s="1"/>
  <c r="P42" i="2"/>
  <c r="D42" i="2"/>
  <c r="E42" i="2" s="1"/>
  <c r="P37" i="2"/>
  <c r="D37" i="2"/>
  <c r="Q37" i="2" s="1"/>
  <c r="P36" i="2"/>
  <c r="D36" i="2"/>
  <c r="Q36" i="2" s="1"/>
  <c r="P31" i="2"/>
  <c r="D31" i="2"/>
  <c r="Q31" i="2" s="1"/>
  <c r="P30" i="2"/>
  <c r="D30" i="2"/>
  <c r="Q30" i="2" s="1"/>
  <c r="P25" i="2"/>
  <c r="D25" i="2"/>
  <c r="Q25" i="2" s="1"/>
  <c r="P24" i="2"/>
  <c r="D24" i="2"/>
  <c r="Q24" i="2" s="1"/>
  <c r="E5" i="3"/>
  <c r="D19" i="2"/>
  <c r="Q19" i="2" s="1"/>
  <c r="D18" i="2"/>
  <c r="E18" i="2" s="1"/>
  <c r="P19" i="2"/>
  <c r="P18" i="2"/>
  <c r="Q4" i="2"/>
  <c r="R4" i="2"/>
  <c r="S4" i="2"/>
  <c r="T4" i="2"/>
  <c r="U4" i="2"/>
  <c r="V4" i="2"/>
  <c r="W4" i="2"/>
  <c r="X4" i="2"/>
  <c r="Y4" i="2"/>
  <c r="Q5" i="2"/>
  <c r="R5" i="2"/>
  <c r="S5" i="2"/>
  <c r="T5" i="2"/>
  <c r="U5" i="2"/>
  <c r="V5" i="2"/>
  <c r="W5" i="2"/>
  <c r="X5" i="2"/>
  <c r="Y5" i="2"/>
  <c r="Q6" i="2"/>
  <c r="R6" i="2"/>
  <c r="S6" i="2"/>
  <c r="T6" i="2"/>
  <c r="U6" i="2"/>
  <c r="V6" i="2"/>
  <c r="W6" i="2"/>
  <c r="X6" i="2"/>
  <c r="Y6" i="2"/>
  <c r="Q7" i="2"/>
  <c r="R7" i="2"/>
  <c r="S7" i="2"/>
  <c r="T7" i="2"/>
  <c r="U7" i="2"/>
  <c r="V7" i="2"/>
  <c r="W7" i="2"/>
  <c r="X7" i="2"/>
  <c r="Y7" i="2"/>
  <c r="Q8" i="2"/>
  <c r="R8" i="2"/>
  <c r="S8" i="2"/>
  <c r="T8" i="2"/>
  <c r="U8" i="2"/>
  <c r="V8" i="2"/>
  <c r="W8" i="2"/>
  <c r="X8" i="2"/>
  <c r="Y8" i="2"/>
  <c r="Q9" i="2"/>
  <c r="R9" i="2"/>
  <c r="S9" i="2"/>
  <c r="T9" i="2"/>
  <c r="U9" i="2"/>
  <c r="V9" i="2"/>
  <c r="W9" i="2"/>
  <c r="X9" i="2"/>
  <c r="Y9" i="2"/>
  <c r="Q10" i="2"/>
  <c r="R10" i="2"/>
  <c r="S10" i="2"/>
  <c r="T10" i="2"/>
  <c r="U10" i="2"/>
  <c r="V10" i="2"/>
  <c r="W10" i="2"/>
  <c r="X10" i="2"/>
  <c r="Y10" i="2"/>
  <c r="Q11" i="2"/>
  <c r="R11" i="2"/>
  <c r="S11" i="2"/>
  <c r="T11" i="2"/>
  <c r="U11" i="2"/>
  <c r="V11" i="2"/>
  <c r="W11" i="2"/>
  <c r="X11" i="2"/>
  <c r="Y11" i="2"/>
  <c r="Q12" i="2"/>
  <c r="R12" i="2"/>
  <c r="S12" i="2"/>
  <c r="T12" i="2"/>
  <c r="U12" i="2"/>
  <c r="V12" i="2"/>
  <c r="W12" i="2"/>
  <c r="X12" i="2"/>
  <c r="Y12" i="2"/>
  <c r="Q13" i="2"/>
  <c r="R13" i="2"/>
  <c r="S13" i="2"/>
  <c r="T13" i="2"/>
  <c r="U13" i="2"/>
  <c r="V13" i="2"/>
  <c r="W13" i="2"/>
  <c r="X13" i="2"/>
  <c r="Y13" i="2"/>
  <c r="P4" i="2"/>
  <c r="P5" i="2"/>
  <c r="P6" i="2"/>
  <c r="P7" i="2"/>
  <c r="P8" i="2"/>
  <c r="P9" i="2"/>
  <c r="P10" i="2"/>
  <c r="P11" i="2"/>
  <c r="P12" i="2"/>
  <c r="P13" i="2"/>
  <c r="Q3" i="2"/>
  <c r="R3" i="2"/>
  <c r="S3" i="2"/>
  <c r="T3" i="2"/>
  <c r="U3" i="2"/>
  <c r="V3" i="2"/>
  <c r="W3" i="2"/>
  <c r="X3" i="2"/>
  <c r="Y3" i="2"/>
  <c r="P3" i="2"/>
  <c r="AJ64" i="5" l="1" a="1"/>
  <c r="AJ64" i="5" s="1"/>
  <c r="AK64" i="5" s="1"/>
  <c r="AL64" i="5" s="1"/>
  <c r="AJ63" i="5" a="1"/>
  <c r="AJ63" i="5" s="1"/>
  <c r="AK63" i="5" s="1"/>
  <c r="AL63" i="5" s="1"/>
  <c r="AJ62" i="5" a="1"/>
  <c r="AJ62" i="5" s="1"/>
  <c r="AK62" i="5" s="1"/>
  <c r="AL62" i="5" s="1"/>
  <c r="AJ61" i="5" a="1"/>
  <c r="AJ61" i="5" s="1"/>
  <c r="AK61" i="5" s="1"/>
  <c r="AL61" i="5" s="1"/>
  <c r="AJ60" i="5" a="1"/>
  <c r="AJ60" i="5" s="1"/>
  <c r="AK60" i="5" s="1"/>
  <c r="AL60" i="5" s="1"/>
  <c r="AJ59" i="5" a="1"/>
  <c r="AJ59" i="5" s="1"/>
  <c r="AK59" i="5" s="1"/>
  <c r="AL59" i="5" s="1"/>
  <c r="AJ58" i="5" a="1"/>
  <c r="AJ58" i="5" s="1"/>
  <c r="AK58" i="5" s="1"/>
  <c r="AL58" i="5" s="1"/>
  <c r="AJ57" i="5" a="1"/>
  <c r="AJ57" i="5" s="1"/>
  <c r="AK57" i="5" s="1"/>
  <c r="AL57" i="5" s="1"/>
  <c r="AJ56" i="5" a="1"/>
  <c r="AJ56" i="5" s="1"/>
  <c r="AK56" i="5" s="1"/>
  <c r="AL56" i="5" s="1"/>
  <c r="AJ55" i="5" a="1"/>
  <c r="AJ55" i="5" s="1"/>
  <c r="AK55" i="5" s="1"/>
  <c r="AL55" i="5" s="1"/>
  <c r="AJ54" i="5" a="1"/>
  <c r="AJ54" i="5" s="1"/>
  <c r="AK54" i="5" s="1"/>
  <c r="AL54" i="5" s="1"/>
  <c r="AJ53" i="5" a="1"/>
  <c r="AJ53" i="5" s="1"/>
  <c r="AK53" i="5" s="1"/>
  <c r="AL53" i="5" s="1"/>
  <c r="AJ52" i="5" a="1"/>
  <c r="AJ52" i="5" s="1"/>
  <c r="AK52" i="5" s="1"/>
  <c r="AL52" i="5" s="1"/>
  <c r="AJ70" i="5" a="1"/>
  <c r="AJ70" i="5" s="1"/>
  <c r="AK70" i="5" s="1"/>
  <c r="AL70" i="5" s="1"/>
  <c r="AJ40" i="5" a="1"/>
  <c r="AJ40" i="5" s="1"/>
  <c r="AK40" i="5" s="1"/>
  <c r="AL40" i="5" s="1"/>
  <c r="AJ51" i="5" a="1"/>
  <c r="AJ51" i="5" s="1"/>
  <c r="AK51" i="5" s="1"/>
  <c r="AL51" i="5" s="1"/>
  <c r="AJ49" i="5" a="1"/>
  <c r="AJ49" i="5" s="1"/>
  <c r="AK49" i="5" s="1"/>
  <c r="AL49" i="5" s="1"/>
  <c r="AJ48" i="5" a="1"/>
  <c r="AJ48" i="5" s="1"/>
  <c r="AK48" i="5" s="1"/>
  <c r="AL48" i="5" s="1"/>
  <c r="AJ46" i="5" a="1"/>
  <c r="AJ46" i="5" s="1"/>
  <c r="AK46" i="5" s="1"/>
  <c r="AL46" i="5" s="1"/>
  <c r="AJ44" i="5" a="1"/>
  <c r="AJ44" i="5" s="1"/>
  <c r="AK44" i="5" s="1"/>
  <c r="AL44" i="5" s="1"/>
  <c r="AJ42" i="5" a="1"/>
  <c r="AJ42" i="5" s="1"/>
  <c r="AK42" i="5" s="1"/>
  <c r="AL42" i="5" s="1"/>
  <c r="AJ45" i="5" a="1"/>
  <c r="AJ45" i="5" s="1"/>
  <c r="AK45" i="5" s="1"/>
  <c r="AL45" i="5" s="1"/>
  <c r="AJ50" i="5" a="1"/>
  <c r="AJ50" i="5" s="1"/>
  <c r="AK50" i="5" s="1"/>
  <c r="AL50" i="5" s="1"/>
  <c r="AJ47" i="5" a="1"/>
  <c r="AJ47" i="5" s="1"/>
  <c r="AK47" i="5" s="1"/>
  <c r="AL47" i="5" s="1"/>
  <c r="AJ43" i="5" a="1"/>
  <c r="AJ43" i="5" s="1"/>
  <c r="AK43" i="5" s="1"/>
  <c r="AL43" i="5" s="1"/>
  <c r="S5" i="3"/>
  <c r="X12" i="3"/>
  <c r="E4" i="3"/>
  <c r="W4" i="3" s="1"/>
  <c r="W5" i="3"/>
  <c r="T4" i="3"/>
  <c r="P4" i="3"/>
  <c r="X4" i="3"/>
  <c r="O6" i="3"/>
  <c r="O5" i="3"/>
  <c r="Q5" i="3"/>
  <c r="R12" i="3"/>
  <c r="V6" i="3"/>
  <c r="X5" i="3"/>
  <c r="P5" i="3"/>
  <c r="Q12" i="3"/>
  <c r="U6" i="3"/>
  <c r="W6" i="3"/>
  <c r="U4" i="3"/>
  <c r="O12" i="3"/>
  <c r="S6" i="3"/>
  <c r="W12" i="3"/>
  <c r="U5" i="3"/>
  <c r="V12" i="3"/>
  <c r="V8" i="3"/>
  <c r="R6" i="3"/>
  <c r="P12" i="3"/>
  <c r="T6" i="3"/>
  <c r="V5" i="3"/>
  <c r="R4" i="3"/>
  <c r="T5" i="3"/>
  <c r="U12" i="3"/>
  <c r="Q6" i="3"/>
  <c r="R5" i="3"/>
  <c r="T12" i="3"/>
  <c r="E7" i="3"/>
  <c r="R7" i="3" s="1"/>
  <c r="E8" i="3"/>
  <c r="U8" i="3" s="1"/>
  <c r="E9" i="3"/>
  <c r="E10" i="3"/>
  <c r="S10" i="3" s="1"/>
  <c r="F12" i="3"/>
  <c r="E66" i="2"/>
  <c r="R66" i="2" s="1"/>
  <c r="R67" i="2"/>
  <c r="F67" i="2"/>
  <c r="F66" i="2"/>
  <c r="Q67" i="2"/>
  <c r="R60" i="2"/>
  <c r="F60" i="2"/>
  <c r="Q60" i="2"/>
  <c r="E61" i="2"/>
  <c r="E54" i="2"/>
  <c r="E55" i="2"/>
  <c r="F48" i="2"/>
  <c r="E49" i="2"/>
  <c r="R42" i="2"/>
  <c r="F42" i="2"/>
  <c r="Q42" i="2"/>
  <c r="E43" i="2"/>
  <c r="E36" i="2"/>
  <c r="R36" i="2" s="1"/>
  <c r="E37" i="2"/>
  <c r="E30" i="2"/>
  <c r="R30" i="2" s="1"/>
  <c r="E31" i="2"/>
  <c r="AA8" i="2" a="1"/>
  <c r="AA8" i="2" s="1"/>
  <c r="E25" i="2"/>
  <c r="E24" i="2"/>
  <c r="Q18" i="2"/>
  <c r="E19" i="2"/>
  <c r="R18" i="2"/>
  <c r="F18" i="2"/>
  <c r="G18" i="2" s="1"/>
  <c r="T18" i="2" s="1"/>
  <c r="AA11" i="2" a="1"/>
  <c r="AA11" i="2" s="1"/>
  <c r="AA7" i="2" a="1"/>
  <c r="AA7" i="2" s="1"/>
  <c r="AA10" i="2" a="1"/>
  <c r="AA10" i="2" s="1"/>
  <c r="AA6" i="2" a="1"/>
  <c r="AA6" i="2" s="1"/>
  <c r="AA4" i="2" a="1"/>
  <c r="AA4" i="2" s="1"/>
  <c r="AA13" i="2" a="1"/>
  <c r="AA13" i="2" s="1"/>
  <c r="AA9" i="2" a="1"/>
  <c r="AA9" i="2" s="1"/>
  <c r="AA5" i="2" a="1"/>
  <c r="AA5" i="2" s="1"/>
  <c r="AA12" i="2" a="1"/>
  <c r="AA12" i="2" s="1"/>
  <c r="AK38" i="5" l="1"/>
  <c r="AL38" i="5" s="1"/>
  <c r="F11" i="3"/>
  <c r="P11" i="3"/>
  <c r="F4" i="3"/>
  <c r="Q4" i="3"/>
  <c r="V11" i="3"/>
  <c r="S4" i="3"/>
  <c r="O4" i="3"/>
  <c r="R11" i="3"/>
  <c r="F5" i="3"/>
  <c r="V4" i="3"/>
  <c r="F9" i="3"/>
  <c r="V9" i="3"/>
  <c r="P9" i="3"/>
  <c r="X9" i="3"/>
  <c r="Q9" i="3"/>
  <c r="P7" i="3"/>
  <c r="U10" i="3"/>
  <c r="V10" i="3"/>
  <c r="F8" i="3"/>
  <c r="P8" i="3"/>
  <c r="S8" i="3"/>
  <c r="X8" i="3"/>
  <c r="O8" i="3"/>
  <c r="W8" i="3"/>
  <c r="X7" i="3"/>
  <c r="S11" i="3"/>
  <c r="T11" i="3"/>
  <c r="P10" i="3"/>
  <c r="O7" i="3"/>
  <c r="T9" i="3"/>
  <c r="F7" i="3"/>
  <c r="U7" i="3"/>
  <c r="Q7" i="3"/>
  <c r="T7" i="3"/>
  <c r="X10" i="3"/>
  <c r="S9" i="3"/>
  <c r="R10" i="3"/>
  <c r="S7" i="3"/>
  <c r="Q10" i="3"/>
  <c r="U9" i="3"/>
  <c r="Q8" i="3"/>
  <c r="O11" i="3"/>
  <c r="X11" i="3"/>
  <c r="O9" i="3"/>
  <c r="W7" i="3"/>
  <c r="T8" i="3"/>
  <c r="F10" i="3"/>
  <c r="W10" i="3"/>
  <c r="T10" i="3"/>
  <c r="O10" i="3"/>
  <c r="U11" i="3"/>
  <c r="W11" i="3"/>
  <c r="Q11" i="3"/>
  <c r="W9" i="3"/>
  <c r="R8" i="3"/>
  <c r="V7" i="3"/>
  <c r="R9" i="3"/>
  <c r="G66" i="2"/>
  <c r="S66" i="2"/>
  <c r="S67" i="2"/>
  <c r="G67" i="2"/>
  <c r="R61" i="2"/>
  <c r="F61" i="2"/>
  <c r="S60" i="2"/>
  <c r="G60" i="2"/>
  <c r="F55" i="2"/>
  <c r="R55" i="2"/>
  <c r="R54" i="2"/>
  <c r="F54" i="2"/>
  <c r="R49" i="2"/>
  <c r="F49" i="2"/>
  <c r="S48" i="2"/>
  <c r="G48" i="2"/>
  <c r="R43" i="2"/>
  <c r="F43" i="2"/>
  <c r="S42" i="2"/>
  <c r="G42" i="2"/>
  <c r="F36" i="2"/>
  <c r="F37" i="2"/>
  <c r="R37" i="2"/>
  <c r="S36" i="2"/>
  <c r="G36" i="2"/>
  <c r="F30" i="2"/>
  <c r="G30" i="2" s="1"/>
  <c r="F31" i="2"/>
  <c r="R31" i="2"/>
  <c r="S30" i="2"/>
  <c r="R19" i="2"/>
  <c r="R25" i="2"/>
  <c r="F25" i="2"/>
  <c r="R24" i="2"/>
  <c r="F24" i="2"/>
  <c r="F19" i="2"/>
  <c r="S18" i="2"/>
  <c r="H18" i="2"/>
  <c r="U18" i="2" s="1"/>
  <c r="AC15" i="2"/>
  <c r="I4" i="3" s="1"/>
  <c r="J7" i="3" s="1"/>
  <c r="J10" i="3" l="1"/>
  <c r="J4" i="3"/>
  <c r="J9" i="3"/>
  <c r="J11" i="3"/>
  <c r="J6" i="3"/>
  <c r="J12" i="3"/>
  <c r="J5" i="3"/>
  <c r="J8" i="3"/>
  <c r="T67" i="2"/>
  <c r="H67" i="2"/>
  <c r="H66" i="2"/>
  <c r="T66" i="2"/>
  <c r="H60" i="2"/>
  <c r="T60" i="2"/>
  <c r="S61" i="2"/>
  <c r="G61" i="2"/>
  <c r="S54" i="2"/>
  <c r="G54" i="2"/>
  <c r="G55" i="2"/>
  <c r="S55" i="2"/>
  <c r="T48" i="2"/>
  <c r="H48" i="2"/>
  <c r="S49" i="2"/>
  <c r="G49" i="2"/>
  <c r="T42" i="2"/>
  <c r="H42" i="2"/>
  <c r="G43" i="2"/>
  <c r="S43" i="2"/>
  <c r="S37" i="2"/>
  <c r="G37" i="2"/>
  <c r="T36" i="2"/>
  <c r="H36" i="2"/>
  <c r="G31" i="2"/>
  <c r="S31" i="2"/>
  <c r="T30" i="2"/>
  <c r="H30" i="2"/>
  <c r="S25" i="2"/>
  <c r="G25" i="2"/>
  <c r="G24" i="2"/>
  <c r="S24" i="2"/>
  <c r="G19" i="2"/>
  <c r="S19" i="2"/>
  <c r="I18" i="2"/>
  <c r="V18" i="2" s="1"/>
  <c r="U66" i="2" l="1"/>
  <c r="I66" i="2"/>
  <c r="I67" i="2"/>
  <c r="U67" i="2"/>
  <c r="U60" i="2"/>
  <c r="I60" i="2"/>
  <c r="H61" i="2"/>
  <c r="T61" i="2"/>
  <c r="H55" i="2"/>
  <c r="T55" i="2"/>
  <c r="T54" i="2"/>
  <c r="H54" i="2"/>
  <c r="T49" i="2"/>
  <c r="H49" i="2"/>
  <c r="I48" i="2"/>
  <c r="U48" i="2"/>
  <c r="I42" i="2"/>
  <c r="U42" i="2"/>
  <c r="T43" i="2"/>
  <c r="H43" i="2"/>
  <c r="T37" i="2"/>
  <c r="H37" i="2"/>
  <c r="U36" i="2"/>
  <c r="I36" i="2"/>
  <c r="I30" i="2"/>
  <c r="U30" i="2"/>
  <c r="T31" i="2"/>
  <c r="H31" i="2"/>
  <c r="T25" i="2"/>
  <c r="H25" i="2"/>
  <c r="T24" i="2"/>
  <c r="H24" i="2"/>
  <c r="T19" i="2"/>
  <c r="H19" i="2"/>
  <c r="J18" i="2"/>
  <c r="K18" i="2" s="1"/>
  <c r="J67" i="2" l="1"/>
  <c r="V67" i="2"/>
  <c r="V66" i="2"/>
  <c r="J66" i="2"/>
  <c r="I61" i="2"/>
  <c r="U61" i="2"/>
  <c r="V60" i="2"/>
  <c r="J60" i="2"/>
  <c r="I54" i="2"/>
  <c r="U54" i="2"/>
  <c r="I55" i="2"/>
  <c r="U55" i="2"/>
  <c r="V48" i="2"/>
  <c r="J48" i="2"/>
  <c r="I49" i="2"/>
  <c r="U49" i="2"/>
  <c r="J42" i="2"/>
  <c r="V42" i="2"/>
  <c r="I43" i="2"/>
  <c r="U43" i="2"/>
  <c r="I37" i="2"/>
  <c r="U37" i="2"/>
  <c r="V36" i="2"/>
  <c r="J36" i="2"/>
  <c r="V30" i="2"/>
  <c r="J30" i="2"/>
  <c r="I31" i="2"/>
  <c r="U31" i="2"/>
  <c r="U25" i="2"/>
  <c r="I25" i="2"/>
  <c r="U24" i="2"/>
  <c r="I24" i="2"/>
  <c r="U19" i="2"/>
  <c r="I19" i="2"/>
  <c r="W18" i="2"/>
  <c r="L18" i="2"/>
  <c r="Y18" i="2" s="1"/>
  <c r="X18" i="2"/>
  <c r="W66" i="2" l="1"/>
  <c r="K66" i="2"/>
  <c r="W67" i="2"/>
  <c r="K67" i="2"/>
  <c r="K60" i="2"/>
  <c r="W60" i="2"/>
  <c r="V61" i="2"/>
  <c r="J61" i="2"/>
  <c r="V55" i="2"/>
  <c r="J55" i="2"/>
  <c r="V54" i="2"/>
  <c r="J54" i="2"/>
  <c r="W48" i="2"/>
  <c r="K48" i="2"/>
  <c r="V49" i="2"/>
  <c r="J49" i="2"/>
  <c r="V43" i="2"/>
  <c r="J43" i="2"/>
  <c r="W42" i="2"/>
  <c r="K42" i="2"/>
  <c r="V37" i="2"/>
  <c r="J37" i="2"/>
  <c r="W36" i="2"/>
  <c r="K36" i="2"/>
  <c r="W30" i="2"/>
  <c r="K30" i="2"/>
  <c r="V31" i="2"/>
  <c r="J31" i="2"/>
  <c r="V25" i="2"/>
  <c r="J25" i="2"/>
  <c r="V24" i="2"/>
  <c r="J24" i="2"/>
  <c r="V19" i="2"/>
  <c r="J19" i="2"/>
  <c r="L67" i="2" l="1"/>
  <c r="Y67" i="2" s="1"/>
  <c r="X67" i="2"/>
  <c r="L66" i="2"/>
  <c r="Y66" i="2" s="1"/>
  <c r="AA67" i="2" s="1" a="1"/>
  <c r="AA67" i="2" s="1"/>
  <c r="AB67" i="2" s="1"/>
  <c r="X66" i="2"/>
  <c r="W61" i="2"/>
  <c r="K61" i="2"/>
  <c r="L60" i="2"/>
  <c r="Y60" i="2" s="1"/>
  <c r="X60" i="2"/>
  <c r="W54" i="2"/>
  <c r="K54" i="2"/>
  <c r="W55" i="2"/>
  <c r="K55" i="2"/>
  <c r="W49" i="2"/>
  <c r="K49" i="2"/>
  <c r="L48" i="2"/>
  <c r="Y48" i="2" s="1"/>
  <c r="X48" i="2"/>
  <c r="W43" i="2"/>
  <c r="K43" i="2"/>
  <c r="L42" i="2"/>
  <c r="Y42" i="2" s="1"/>
  <c r="X42" i="2"/>
  <c r="W37" i="2"/>
  <c r="K37" i="2"/>
  <c r="L36" i="2"/>
  <c r="Y36" i="2" s="1"/>
  <c r="X36" i="2"/>
  <c r="W31" i="2"/>
  <c r="K31" i="2"/>
  <c r="L30" i="2"/>
  <c r="Y30" i="2" s="1"/>
  <c r="X30" i="2"/>
  <c r="W25" i="2"/>
  <c r="K25" i="2"/>
  <c r="K24" i="2"/>
  <c r="W24" i="2"/>
  <c r="W19" i="2"/>
  <c r="K19" i="2"/>
  <c r="L61" i="2" l="1"/>
  <c r="Y61" i="2" s="1"/>
  <c r="AA61" i="2" s="1" a="1"/>
  <c r="AA61" i="2" s="1"/>
  <c r="AB61" i="2" s="1"/>
  <c r="X61" i="2"/>
  <c r="L54" i="2"/>
  <c r="Y54" i="2" s="1"/>
  <c r="AA55" i="2" s="1" a="1"/>
  <c r="AA55" i="2" s="1"/>
  <c r="AB55" i="2" s="1"/>
  <c r="X54" i="2"/>
  <c r="X55" i="2"/>
  <c r="L55" i="2"/>
  <c r="Y55" i="2" s="1"/>
  <c r="X49" i="2"/>
  <c r="L49" i="2"/>
  <c r="Y49" i="2" s="1"/>
  <c r="AA49" i="2" s="1" a="1"/>
  <c r="AA49" i="2" s="1"/>
  <c r="AB49" i="2" s="1"/>
  <c r="L43" i="2"/>
  <c r="Y43" i="2" s="1"/>
  <c r="X43" i="2"/>
  <c r="AA43" i="2" a="1"/>
  <c r="AA43" i="2" s="1"/>
  <c r="AB43" i="2" s="1"/>
  <c r="X37" i="2"/>
  <c r="L37" i="2"/>
  <c r="Y37" i="2" s="1"/>
  <c r="AA37" i="2" s="1" a="1"/>
  <c r="AA37" i="2" s="1"/>
  <c r="AB37" i="2" s="1"/>
  <c r="X31" i="2"/>
  <c r="L31" i="2"/>
  <c r="Y31" i="2" s="1"/>
  <c r="AA31" i="2" s="1" a="1"/>
  <c r="AA31" i="2" s="1"/>
  <c r="AB31" i="2" s="1"/>
  <c r="X25" i="2"/>
  <c r="L25" i="2"/>
  <c r="L24" i="2"/>
  <c r="Y24" i="2" s="1"/>
  <c r="AA25" i="2" s="1" a="1"/>
  <c r="AA25" i="2" s="1"/>
  <c r="X24" i="2"/>
  <c r="Y25" i="2"/>
  <c r="X19" i="2"/>
  <c r="L19" i="2"/>
  <c r="AB25" i="2" l="1"/>
  <c r="Y19" i="2"/>
  <c r="AA19" i="2" s="1" a="1"/>
  <c r="AA19" i="2" s="1"/>
  <c r="AB1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<sst xmlns="http://schemas.openxmlformats.org/spreadsheetml/2006/main" count="734" uniqueCount="186">
  <si>
    <t>Component Ids</t>
  </si>
  <si>
    <t>IRL</t>
  </si>
  <si>
    <t>TRL</t>
  </si>
  <si>
    <t>TRL and IRL data from SBS</t>
  </si>
  <si>
    <t>Normalised TRL and IRL</t>
  </si>
  <si>
    <t>Component SRL</t>
  </si>
  <si>
    <t>Composite SRL</t>
  </si>
  <si>
    <t>SRL transition model</t>
  </si>
  <si>
    <t>Composite SRL Range</t>
  </si>
  <si>
    <t>SRL</t>
  </si>
  <si>
    <t>Midtpoint levels</t>
  </si>
  <si>
    <t>SRL transition model TRL and IRL = 1</t>
  </si>
  <si>
    <t>SRL transition model TRL and IRL = 2</t>
  </si>
  <si>
    <t>SRL transition model TRL and IRL = 3</t>
  </si>
  <si>
    <t>SRL transition model TRL and IRL = 4</t>
  </si>
  <si>
    <t>SRL transition model TRL and IRL = 5</t>
  </si>
  <si>
    <t>SRL transition model TRL and IRL = 6</t>
  </si>
  <si>
    <t>SRL transition model TRL and IRL = 7</t>
  </si>
  <si>
    <t>SRL transition model TRL and IRL = 8</t>
  </si>
  <si>
    <t>SRL transition model TRL and IRL = 9</t>
  </si>
  <si>
    <t>SRA Calculated</t>
  </si>
  <si>
    <t>SRA measured</t>
  </si>
  <si>
    <t>Component SRA</t>
  </si>
  <si>
    <t>Output system</t>
  </si>
  <si>
    <t>TRL-F</t>
  </si>
  <si>
    <t>From system name</t>
  </si>
  <si>
    <t>From SO</t>
  </si>
  <si>
    <t>From Org</t>
  </si>
  <si>
    <t>IRL →</t>
  </si>
  <si>
    <t>I-Class →</t>
  </si>
  <si>
    <t>I-Class ←</t>
  </si>
  <si>
    <t>IRL ←</t>
  </si>
  <si>
    <t>Input system</t>
  </si>
  <si>
    <t>TRL-To</t>
  </si>
  <si>
    <t>To system name</t>
  </si>
  <si>
    <t>To SO</t>
  </si>
  <si>
    <t>To Org</t>
  </si>
  <si>
    <t>=1.1.1</t>
  </si>
  <si>
    <t>MV Switchgear System, WTG</t>
  </si>
  <si>
    <t>HATHO</t>
  </si>
  <si>
    <t>WTG</t>
  </si>
  <si>
    <t>E_, FC</t>
  </si>
  <si>
    <t>=3.1.2</t>
  </si>
  <si>
    <t>ICC/PCC cable system (66kV)</t>
  </si>
  <si>
    <t>XSTPH</t>
  </si>
  <si>
    <t>ELS</t>
  </si>
  <si>
    <t>=2.1.1</t>
  </si>
  <si>
    <t>MV Cable Routing System</t>
  </si>
  <si>
    <t>KIMLJ</t>
  </si>
  <si>
    <t>E_, EC, EB, EA</t>
  </si>
  <si>
    <t>=4.1.2</t>
  </si>
  <si>
    <t>MV GIS system</t>
  </si>
  <si>
    <t>XMMCS</t>
  </si>
  <si>
    <t>CA, CB, FA, FC, E_</t>
  </si>
  <si>
    <t>=4.1.3</t>
  </si>
  <si>
    <t>Main transformer system</t>
  </si>
  <si>
    <t>XBOLA</t>
  </si>
  <si>
    <t>CA, CB</t>
  </si>
  <si>
    <t>=4.1.5</t>
  </si>
  <si>
    <t>Earthing Auxiliary Transformer (EAT) System</t>
  </si>
  <si>
    <t>XBARH</t>
  </si>
  <si>
    <t>=4.1.6</t>
  </si>
  <si>
    <t>Neutral Earthing Resistor (NER) System</t>
  </si>
  <si>
    <t>=4.1.8</t>
  </si>
  <si>
    <t>MV cable connecting system</t>
  </si>
  <si>
    <t>SIMCO</t>
  </si>
  <si>
    <t>EA</t>
  </si>
  <si>
    <t>E_</t>
  </si>
  <si>
    <t>=4.2.6</t>
  </si>
  <si>
    <t>Earthing / grounding system</t>
  </si>
  <si>
    <t>HOLSE</t>
  </si>
  <si>
    <t>OSS</t>
  </si>
  <si>
    <t>CB</t>
  </si>
  <si>
    <t>=4.7.5</t>
  </si>
  <si>
    <t>High/Medium voltage cable tray system</t>
  </si>
  <si>
    <t>=4.7.6</t>
  </si>
  <si>
    <t>Low voltage cable tray system</t>
  </si>
  <si>
    <t>EB, EC</t>
  </si>
  <si>
    <t>=4.7.9</t>
  </si>
  <si>
    <t>Equipment spacing system (3D)</t>
  </si>
  <si>
    <t>POREI</t>
  </si>
  <si>
    <t>=4.10.13</t>
  </si>
  <si>
    <t>Fiber distribution system (YCC)</t>
  </si>
  <si>
    <t>COLHO</t>
  </si>
  <si>
    <t>FB</t>
  </si>
  <si>
    <t>FB, B_, FC</t>
  </si>
  <si>
    <t>=4.13.3</t>
  </si>
  <si>
    <t>J-TUBE System</t>
  </si>
  <si>
    <t>FELNM</t>
  </si>
  <si>
    <t>=12.3.1</t>
  </si>
  <si>
    <t>4G Telecom System</t>
  </si>
  <si>
    <t>ERIHO</t>
  </si>
  <si>
    <t>FA</t>
  </si>
  <si>
    <t>=1.4.4</t>
  </si>
  <si>
    <t>XNEER</t>
  </si>
  <si>
    <t>=4.2.1</t>
  </si>
  <si>
    <t>Uninterruptible Power Supply system (UPS)</t>
  </si>
  <si>
    <t>CA</t>
  </si>
  <si>
    <t>=4.10.3</t>
  </si>
  <si>
    <t>=4.2.2</t>
  </si>
  <si>
    <t>Low voltage main supply system (SWB)</t>
  </si>
  <si>
    <t>=4.6.2</t>
  </si>
  <si>
    <t>Cooling/Heating System</t>
  </si>
  <si>
    <t>CD</t>
  </si>
  <si>
    <t>CC</t>
  </si>
  <si>
    <t>EA, FC, E_</t>
  </si>
  <si>
    <t>=4.10.10</t>
  </si>
  <si>
    <t>Telecom Management System</t>
  </si>
  <si>
    <t>BA</t>
  </si>
  <si>
    <t>=4.10.12</t>
  </si>
  <si>
    <t>Network Backbone System</t>
  </si>
  <si>
    <t>AA, FA</t>
  </si>
  <si>
    <t>=5.2.1</t>
  </si>
  <si>
    <t>=5.7.3</t>
  </si>
  <si>
    <t>=5.2.2</t>
  </si>
  <si>
    <t>=5.2.6</t>
  </si>
  <si>
    <t>=5.6.2</t>
  </si>
  <si>
    <t>=5.7.12</t>
  </si>
  <si>
    <t>=10.7.5</t>
  </si>
  <si>
    <t>=10.7.2</t>
  </si>
  <si>
    <t>=10.7.6</t>
  </si>
  <si>
    <t xml:space="preserve">Network Backbone System </t>
  </si>
  <si>
    <t>=5.7.10</t>
  </si>
  <si>
    <t>=5.11.9</t>
  </si>
  <si>
    <t>B_</t>
  </si>
  <si>
    <t>=4.4.1</t>
  </si>
  <si>
    <t>Substation Control system (SCS)</t>
  </si>
  <si>
    <t>MICHN</t>
  </si>
  <si>
    <t>=5.11.4</t>
  </si>
  <si>
    <t>Electrical cable pulling winch</t>
  </si>
  <si>
    <t>=5.4.1</t>
  </si>
  <si>
    <t>Substation Control system (SCADA)</t>
  </si>
  <si>
    <t>=2.2.1</t>
  </si>
  <si>
    <t>TETRA External Antenna System</t>
  </si>
  <si>
    <t>BC</t>
  </si>
  <si>
    <t>=1.5.1</t>
  </si>
  <si>
    <t>Disturbance measurement system</t>
  </si>
  <si>
    <t>IBFAL</t>
  </si>
  <si>
    <t>AA</t>
  </si>
  <si>
    <t>=4.4.2</t>
  </si>
  <si>
    <t>Park Server System (WTG SCADA)</t>
  </si>
  <si>
    <t>=10.4.2</t>
  </si>
  <si>
    <t>BB</t>
  </si>
  <si>
    <t>=1.4.3</t>
  </si>
  <si>
    <t xml:space="preserve">Protection system wind turbine generator (WTG) </t>
  </si>
  <si>
    <t>=5.7.13</t>
  </si>
  <si>
    <t>FC</t>
  </si>
  <si>
    <t>A_</t>
  </si>
  <si>
    <t>=11.4.2</t>
  </si>
  <si>
    <t>=10.7.7</t>
  </si>
  <si>
    <t>=4.7.4</t>
  </si>
  <si>
    <t>Systems ID</t>
  </si>
  <si>
    <t>1.1.1</t>
  </si>
  <si>
    <t>2.1.1</t>
  </si>
  <si>
    <t>3.1.2</t>
  </si>
  <si>
    <t>4.1.2</t>
  </si>
  <si>
    <t>4.1.3</t>
  </si>
  <si>
    <t>4.1.5</t>
  </si>
  <si>
    <t>4.1.6</t>
  </si>
  <si>
    <t>4.1.8</t>
  </si>
  <si>
    <t>4.2.1</t>
  </si>
  <si>
    <t>4.2.2</t>
  </si>
  <si>
    <t>4.2.6</t>
  </si>
  <si>
    <t>4.6.2</t>
  </si>
  <si>
    <t>4.7.4</t>
  </si>
  <si>
    <t>4.7.5</t>
  </si>
  <si>
    <t>4.7.6</t>
  </si>
  <si>
    <t>4.7.9</t>
  </si>
  <si>
    <t>4.10.10</t>
  </si>
  <si>
    <t>4.10.12</t>
  </si>
  <si>
    <t>4.10.13</t>
  </si>
  <si>
    <t>4.13.3</t>
  </si>
  <si>
    <t>5.2.1</t>
  </si>
  <si>
    <t>5.2.2</t>
  </si>
  <si>
    <t>5.2.6</t>
  </si>
  <si>
    <t>5.6.2</t>
  </si>
  <si>
    <t>5.7.3</t>
  </si>
  <si>
    <t>5.7.12</t>
  </si>
  <si>
    <t>5.7.13</t>
  </si>
  <si>
    <t>5.11.4</t>
  </si>
  <si>
    <t>10.7.5</t>
  </si>
  <si>
    <t>10.7.6</t>
  </si>
  <si>
    <t>11.4.2</t>
  </si>
  <si>
    <t>12.3.1</t>
  </si>
  <si>
    <t>SRA calc</t>
  </si>
  <si>
    <t>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</si>
</sst>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164" fontId="0" fillId="2" borderId="0" xfId="0" applyNumberFormat="1" applyFill="1"/>
    <xf numFmtId="164" fontId="0" fillId="0" borderId="0" xfId="0" applyNumberFormat="1" applyFill="1"/>
    <xf numFmtId="164" fontId="0" fillId="0" borderId="0" xfId="0" applyNumberFormat="1" applyFill="1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 vertical="center" textRotation="90" wrapText="1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 textRotation="90" wrapText="1"/>
    </xf>
    <xf numFmtId="0" fontId="0" fillId="4" borderId="0" xfId="0" applyFill="1" applyAlignment="1">
      <alignment horizontal="center" vertical="center" textRotation="90"/>
    </xf>
    <xf numFmtId="166" fontId="0" fillId="0" borderId="0" xfId="0" applyNumberFormat="1"/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a-DK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'SRL Test'!$AN$48</c:f>
          <c:strCache>
            <c:ptCount val="1"/>
            <c:pt idx="0">
              <c:v>Samlet SRA = 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solidFill>
                <a:schemeClr val="lt1">
                  <a:alpha val="50000"/>
                </a:schemeClr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diamond"/>
            <c:size val="7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strRef>
              <c:f>'SRL Test'!$B$40:$B$71</c:f>
              <c:strCache>
                <c:ptCount val="32"/>
                <c:pt idx="0">
                  <c:v>1.1.1</c:v>
                </c:pt>
                <c:pt idx="1">
                  <c:v>2.1.1</c:v>
                </c:pt>
                <c:pt idx="2">
                  <c:v>3.1.2</c:v>
                </c:pt>
                <c:pt idx="3">
                  <c:v>4.1.2</c:v>
                </c:pt>
                <c:pt idx="4">
                  <c:v>4.1.3</c:v>
                </c:pt>
                <c:pt idx="5">
                  <c:v>4.1.5</c:v>
                </c:pt>
                <c:pt idx="6">
                  <c:v>4.1.6</c:v>
                </c:pt>
                <c:pt idx="7">
                  <c:v>4.1.8</c:v>
                </c:pt>
                <c:pt idx="8">
                  <c:v>4.2.1</c:v>
                </c:pt>
                <c:pt idx="9">
                  <c:v>4.2.2</c:v>
                </c:pt>
                <c:pt idx="10">
                  <c:v>4.2.6</c:v>
                </c:pt>
                <c:pt idx="11">
                  <c:v>4.6.2</c:v>
                </c:pt>
                <c:pt idx="12">
                  <c:v>4.7.4</c:v>
                </c:pt>
                <c:pt idx="13">
                  <c:v>4.7.5</c:v>
                </c:pt>
                <c:pt idx="14">
                  <c:v>4.7.6</c:v>
                </c:pt>
                <c:pt idx="15">
                  <c:v>4.7.9</c:v>
                </c:pt>
                <c:pt idx="16">
                  <c:v>4.10.10</c:v>
                </c:pt>
                <c:pt idx="17">
                  <c:v>4.10.12</c:v>
                </c:pt>
                <c:pt idx="18">
                  <c:v>4.10.13</c:v>
                </c:pt>
                <c:pt idx="19">
                  <c:v>4.13.3</c:v>
                </c:pt>
                <c:pt idx="20">
                  <c:v>5.2.1</c:v>
                </c:pt>
                <c:pt idx="21">
                  <c:v>5.2.2</c:v>
                </c:pt>
                <c:pt idx="22">
                  <c:v>5.2.6</c:v>
                </c:pt>
                <c:pt idx="23">
                  <c:v>5.6.2</c:v>
                </c:pt>
                <c:pt idx="24">
                  <c:v>5.7.3</c:v>
                </c:pt>
                <c:pt idx="25">
                  <c:v>5.7.12</c:v>
                </c:pt>
                <c:pt idx="26">
                  <c:v>5.7.13</c:v>
                </c:pt>
                <c:pt idx="27">
                  <c:v>5.11.4</c:v>
                </c:pt>
                <c:pt idx="28">
                  <c:v>10.7.5</c:v>
                </c:pt>
                <c:pt idx="29">
                  <c:v>10.7.6</c:v>
                </c:pt>
                <c:pt idx="30">
                  <c:v>11.4.2</c:v>
                </c:pt>
                <c:pt idx="31">
                  <c:v>12.3.1</c:v>
                </c:pt>
              </c:strCache>
            </c:strRef>
          </c:xVal>
          <c:yVal>
            <c:numRef>
              <c:f>'SRL Test'!$AL$40:$AL$71</c:f>
              <c:numCache>
                <c:formatCode>General</c:formatCode>
                <c:ptCount val="32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7</c:v>
                </c:pt>
                <c:pt idx="9">
                  <c:v>7</c:v>
                </c:pt>
                <c:pt idx="10">
                  <c:v>6</c:v>
                </c:pt>
                <c:pt idx="11">
                  <c:v>7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7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5</c:v>
                </c:pt>
                <c:pt idx="25">
                  <c:v>6</c:v>
                </c:pt>
                <c:pt idx="26">
                  <c:v>6</c:v>
                </c:pt>
                <c:pt idx="27">
                  <c:v>7</c:v>
                </c:pt>
                <c:pt idx="28">
                  <c:v>7</c:v>
                </c:pt>
                <c:pt idx="29">
                  <c:v>6</c:v>
                </c:pt>
                <c:pt idx="30">
                  <c:v>7</c:v>
                </c:pt>
                <c:pt idx="31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063-4509-A916-60BAF0BDF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2290832"/>
        <c:axId val="532291160"/>
      </c:scatterChart>
      <c:valAx>
        <c:axId val="53229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32291160"/>
        <c:crosses val="autoZero"/>
        <c:crossBetween val="midCat"/>
      </c:valAx>
      <c:valAx>
        <c:axId val="532291160"/>
        <c:scaling>
          <c:orientation val="minMax"/>
          <c:max val="9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532290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47</xdr:row>
      <xdr:rowOff>161925</xdr:rowOff>
    </xdr:from>
    <xdr:to>
      <xdr:col>27</xdr:col>
      <xdr:colOff>342900</xdr:colOff>
      <xdr:row>62</xdr:row>
      <xdr:rowOff>47625</xdr:rowOff>
    </xdr:to>
    <xdr:graphicFrame macro="">
      <xdr:nvGraphicFramePr>
        <xdr:cNvPr id="3" name="Diagram 2">
          <a:extLst>
            <a:ext uri="{FF2B5EF4-FFF2-40B4-BE49-F238E27FC236}">
              <a16:creationId xmlns:a16="http://schemas.microsoft.com/office/drawing/2014/main" id="{8F317A5B-720A-4731-9C48-FDD8336DD3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042C1C-F3D7-45DA-A2CD-0091634F92A2}" name="Tabel1" displayName="Tabel1" ref="A1:N52" totalsRowShown="0">
  <autoFilter ref="A1:N52" xr:uid="{8874675D-B043-4292-981B-AB3E486B11CA}"/>
  <sortState xmlns:xlrd2="http://schemas.microsoft.com/office/spreadsheetml/2017/richdata2" ref="A2:N52">
    <sortCondition ref="A1:A52"/>
  </sortState>
  <tableColumns count="14">
    <tableColumn id="1" xr3:uid="{34D09461-4F9A-4A0A-9CEE-C33CA2426EF7}" name="Output system"/>
    <tableColumn id="2" xr3:uid="{C48A7FE8-1D65-4281-8E27-861ED23F1A6C}" name="TRL-F"/>
    <tableColumn id="3" xr3:uid="{DC4F5FBC-BE65-45F9-A767-95533D8E9799}" name="From system name"/>
    <tableColumn id="4" xr3:uid="{74D8A9E8-A375-40FD-ADFE-8A210ACC05BF}" name="From SO"/>
    <tableColumn id="5" xr3:uid="{C8D7D504-16DA-4202-9400-A6FD0ECCAB3B}" name="From Org"/>
    <tableColumn id="6" xr3:uid="{CC101CB2-AF28-4245-9CD5-666299F2282C}" name="IRL →"/>
    <tableColumn id="7" xr3:uid="{011E6DD6-8A87-439E-947E-B938D68227C6}" name="I-Class →"/>
    <tableColumn id="8" xr3:uid="{FC28DBEF-A375-4683-9424-0292536B45BF}" name="I-Class ←"/>
    <tableColumn id="9" xr3:uid="{16DC8E75-6B3C-4F0D-9DF1-01C60DD0776F}" name="IRL ←"/>
    <tableColumn id="10" xr3:uid="{FCB0364C-CABA-4162-9566-70F985E83BEF}" name="Input system"/>
    <tableColumn id="11" xr3:uid="{9C97DD17-2523-4376-B217-85BB1772B858}" name="TRL-To"/>
    <tableColumn id="12" xr3:uid="{ED3CD4F7-1F9D-4B89-ADF9-6BE28B0AD04E}" name="To system name"/>
    <tableColumn id="13" xr3:uid="{7246E552-B694-49E4-8C5E-1316AECF5729}" name="To SO"/>
    <tableColumn id="14" xr3:uid="{5F9B57BB-4E1F-4729-A3D7-54BD3C8CA12F}" name="To Or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AD9FA-2295-48CD-BECD-3FBCA2C979E2}">
  <dimension ref="A1:AC67"/>
  <sheetViews>
    <sheetView tabSelected="1" topLeftCell="L1" workbookViewId="0">
      <selection activeCell="C19" sqref="C19"/>
    </sheetView>
  </sheetViews>
  <sheetFormatPr defaultRowHeight="14.5" x14ac:dyDescent="0.35"/>
  <cols>
    <col min="16" max="16" width="9.54296875" bestFit="1" customWidth="1"/>
    <col min="28" max="28" width="9.1796875" customWidth="1"/>
    <col min="29" max="29" width="5.54296875" bestFit="1" customWidth="1"/>
  </cols>
  <sheetData>
    <row r="1" spans="1:29" x14ac:dyDescent="0.35">
      <c r="A1" t="s">
        <v>3</v>
      </c>
      <c r="N1" t="s">
        <v>4</v>
      </c>
    </row>
    <row r="2" spans="1:29" x14ac:dyDescent="0.35">
      <c r="A2" t="s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N2" t="s">
        <v>0</v>
      </c>
      <c r="P2">
        <v>1</v>
      </c>
      <c r="Q2">
        <v>2</v>
      </c>
      <c r="R2">
        <v>3</v>
      </c>
      <c r="S2">
        <v>4</v>
      </c>
      <c r="T2">
        <v>5</v>
      </c>
      <c r="U2">
        <v>6</v>
      </c>
      <c r="V2">
        <v>7</v>
      </c>
      <c r="W2">
        <v>8</v>
      </c>
      <c r="X2">
        <v>9</v>
      </c>
      <c r="Y2">
        <v>10</v>
      </c>
    </row>
    <row r="3" spans="1:29" x14ac:dyDescent="0.35">
      <c r="B3" t="s">
        <v>2</v>
      </c>
      <c r="C3" s="2">
        <v>4</v>
      </c>
      <c r="D3" s="2">
        <v>4</v>
      </c>
      <c r="E3" s="2">
        <v>5</v>
      </c>
      <c r="F3" s="2">
        <v>7</v>
      </c>
      <c r="G3" s="2">
        <v>5</v>
      </c>
      <c r="H3" s="2">
        <v>5</v>
      </c>
      <c r="I3" s="2">
        <v>4</v>
      </c>
      <c r="J3" s="2">
        <v>3</v>
      </c>
      <c r="K3" s="2">
        <v>5</v>
      </c>
      <c r="L3" s="2">
        <v>4</v>
      </c>
      <c r="O3" t="s">
        <v>2</v>
      </c>
      <c r="P3" s="3">
        <f>1/9*C3</f>
        <v>0.44444444444444442</v>
      </c>
      <c r="Q3" s="3">
        <f t="shared" ref="Q3:Y3" si="0">1/9*D3</f>
        <v>0.44444444444444442</v>
      </c>
      <c r="R3" s="3">
        <f t="shared" si="0"/>
        <v>0.55555555555555558</v>
      </c>
      <c r="S3" s="3">
        <f t="shared" si="0"/>
        <v>0.77777777777777768</v>
      </c>
      <c r="T3" s="3">
        <f t="shared" si="0"/>
        <v>0.55555555555555558</v>
      </c>
      <c r="U3" s="3">
        <f t="shared" si="0"/>
        <v>0.55555555555555558</v>
      </c>
      <c r="V3" s="3">
        <f t="shared" si="0"/>
        <v>0.44444444444444442</v>
      </c>
      <c r="W3" s="3">
        <f t="shared" si="0"/>
        <v>0.33333333333333331</v>
      </c>
      <c r="X3" s="3">
        <f t="shared" si="0"/>
        <v>0.55555555555555558</v>
      </c>
      <c r="Y3" s="3">
        <f t="shared" si="0"/>
        <v>0.44444444444444442</v>
      </c>
      <c r="AB3" t="s">
        <v>5</v>
      </c>
    </row>
    <row r="4" spans="1:29" x14ac:dyDescent="0.35">
      <c r="A4" s="16" t="s">
        <v>1</v>
      </c>
      <c r="B4" s="2">
        <v>1</v>
      </c>
      <c r="C4">
        <v>9</v>
      </c>
      <c r="D4">
        <v>0</v>
      </c>
      <c r="E4">
        <v>0</v>
      </c>
      <c r="F4">
        <v>0</v>
      </c>
      <c r="G4">
        <v>0</v>
      </c>
      <c r="H4">
        <v>0</v>
      </c>
      <c r="I4">
        <v>1</v>
      </c>
      <c r="J4">
        <v>0</v>
      </c>
      <c r="K4">
        <v>0</v>
      </c>
      <c r="L4">
        <v>0</v>
      </c>
      <c r="N4" s="16" t="s">
        <v>1</v>
      </c>
      <c r="O4" s="2">
        <v>1</v>
      </c>
      <c r="P4" s="4">
        <f t="shared" ref="P4:P13" si="1">1/9*C4</f>
        <v>1</v>
      </c>
      <c r="Q4" s="4">
        <f t="shared" ref="Q4:Q13" si="2">1/9*D4</f>
        <v>0</v>
      </c>
      <c r="R4" s="4">
        <f t="shared" ref="R4:R13" si="3">1/9*E4</f>
        <v>0</v>
      </c>
      <c r="S4" s="4">
        <f t="shared" ref="S4:S13" si="4">1/9*F4</f>
        <v>0</v>
      </c>
      <c r="T4" s="4">
        <f t="shared" ref="T4:T13" si="5">1/9*G4</f>
        <v>0</v>
      </c>
      <c r="U4" s="4">
        <f t="shared" ref="U4:U13" si="6">1/9*H4</f>
        <v>0</v>
      </c>
      <c r="V4" s="4">
        <f t="shared" ref="V4:V13" si="7">1/9*I4</f>
        <v>0.1111111111111111</v>
      </c>
      <c r="W4" s="4">
        <f t="shared" ref="W4:W13" si="8">1/9*J4</f>
        <v>0</v>
      </c>
      <c r="X4" s="4">
        <f t="shared" ref="X4:X13" si="9">1/9*K4</f>
        <v>0</v>
      </c>
      <c r="Y4" s="4">
        <f t="shared" ref="Y4:Y13" si="10">1/9*L4</f>
        <v>0</v>
      </c>
      <c r="AA4" s="5" cm="1">
        <f t="array" ref="AA4">+SUM($P$3:$Y$3*P4:Y4)</f>
        <v>0.49382716049382713</v>
      </c>
      <c r="AB4" s="7">
        <f>+AA4/COUNTIF(P4:Y4,"&gt;0")</f>
        <v>0.24691358024691357</v>
      </c>
      <c r="AC4">
        <v>1</v>
      </c>
    </row>
    <row r="5" spans="1:29" x14ac:dyDescent="0.35">
      <c r="A5" s="16"/>
      <c r="B5" s="2">
        <v>2</v>
      </c>
      <c r="C5">
        <v>0</v>
      </c>
      <c r="D5">
        <v>9</v>
      </c>
      <c r="E5">
        <v>0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N5" s="16"/>
      <c r="O5" s="2">
        <v>2</v>
      </c>
      <c r="P5" s="4">
        <f t="shared" si="1"/>
        <v>0</v>
      </c>
      <c r="Q5" s="4">
        <f t="shared" si="2"/>
        <v>1</v>
      </c>
      <c r="R5" s="4">
        <f t="shared" si="3"/>
        <v>0</v>
      </c>
      <c r="S5" s="4">
        <f t="shared" si="4"/>
        <v>0</v>
      </c>
      <c r="T5" s="4">
        <f t="shared" si="5"/>
        <v>0</v>
      </c>
      <c r="U5" s="4">
        <f t="shared" si="6"/>
        <v>0</v>
      </c>
      <c r="V5" s="4">
        <f t="shared" si="7"/>
        <v>0</v>
      </c>
      <c r="W5" s="4">
        <f t="shared" si="8"/>
        <v>0.1111111111111111</v>
      </c>
      <c r="X5" s="4">
        <f t="shared" si="9"/>
        <v>0</v>
      </c>
      <c r="Y5" s="4">
        <f t="shared" si="10"/>
        <v>0</v>
      </c>
      <c r="AA5" s="5" cm="1">
        <f t="array" ref="AA5">+SUM($P$3:$Y$3*P5:Y5)</f>
        <v>0.48148148148148145</v>
      </c>
      <c r="AB5" s="7">
        <f t="shared" ref="AB5:AB13" si="11">+AA5/COUNTIF(P5:Y5,"&gt;0")</f>
        <v>0.24074074074074073</v>
      </c>
      <c r="AC5">
        <v>2</v>
      </c>
    </row>
    <row r="6" spans="1:29" x14ac:dyDescent="0.35">
      <c r="A6" s="16"/>
      <c r="B6" s="2">
        <v>3</v>
      </c>
      <c r="C6">
        <v>0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N6" s="16"/>
      <c r="O6" s="2">
        <v>3</v>
      </c>
      <c r="P6" s="4">
        <f t="shared" si="1"/>
        <v>0</v>
      </c>
      <c r="Q6" s="4">
        <f t="shared" si="2"/>
        <v>0</v>
      </c>
      <c r="R6" s="4">
        <f t="shared" si="3"/>
        <v>1</v>
      </c>
      <c r="S6" s="4">
        <f t="shared" si="4"/>
        <v>0</v>
      </c>
      <c r="T6" s="4">
        <f t="shared" si="5"/>
        <v>0</v>
      </c>
      <c r="U6" s="4">
        <f t="shared" si="6"/>
        <v>0</v>
      </c>
      <c r="V6" s="4">
        <f t="shared" si="7"/>
        <v>0</v>
      </c>
      <c r="W6" s="4">
        <f t="shared" si="8"/>
        <v>0.1111111111111111</v>
      </c>
      <c r="X6" s="4">
        <f t="shared" si="9"/>
        <v>0</v>
      </c>
      <c r="Y6" s="4">
        <f t="shared" si="10"/>
        <v>0</v>
      </c>
      <c r="AA6" s="5" cm="1">
        <f t="array" ref="AA6">+SUM($P$3:$Y$3*P6:Y6)</f>
        <v>0.59259259259259256</v>
      </c>
      <c r="AB6" s="7">
        <f t="shared" si="11"/>
        <v>0.29629629629629628</v>
      </c>
      <c r="AC6">
        <v>3</v>
      </c>
    </row>
    <row r="7" spans="1:29" x14ac:dyDescent="0.35">
      <c r="A7" s="16"/>
      <c r="B7" s="2">
        <v>4</v>
      </c>
      <c r="C7">
        <v>0</v>
      </c>
      <c r="D7">
        <v>0</v>
      </c>
      <c r="E7">
        <v>0</v>
      </c>
      <c r="F7">
        <v>9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N7" s="16"/>
      <c r="O7" s="2">
        <v>4</v>
      </c>
      <c r="P7" s="4">
        <f t="shared" si="1"/>
        <v>0</v>
      </c>
      <c r="Q7" s="4">
        <f t="shared" si="2"/>
        <v>0</v>
      </c>
      <c r="R7" s="4">
        <f t="shared" si="3"/>
        <v>0</v>
      </c>
      <c r="S7" s="4">
        <f t="shared" si="4"/>
        <v>1</v>
      </c>
      <c r="T7" s="4">
        <f t="shared" si="5"/>
        <v>0.1111111111111111</v>
      </c>
      <c r="U7" s="4">
        <f t="shared" si="6"/>
        <v>0.1111111111111111</v>
      </c>
      <c r="V7" s="4">
        <f t="shared" si="7"/>
        <v>0</v>
      </c>
      <c r="W7" s="4">
        <f t="shared" si="8"/>
        <v>0</v>
      </c>
      <c r="X7" s="4">
        <f t="shared" si="9"/>
        <v>0</v>
      </c>
      <c r="Y7" s="4">
        <f t="shared" si="10"/>
        <v>0</v>
      </c>
      <c r="AA7" s="5" cm="1">
        <f t="array" ref="AA7">+SUM($P$3:$Y$3*P7:Y7)</f>
        <v>0.90123456790123457</v>
      </c>
      <c r="AB7" s="7">
        <f t="shared" si="11"/>
        <v>0.30041152263374488</v>
      </c>
      <c r="AC7">
        <v>4</v>
      </c>
    </row>
    <row r="8" spans="1:29" x14ac:dyDescent="0.35">
      <c r="A8" s="16"/>
      <c r="B8" s="2">
        <v>5</v>
      </c>
      <c r="C8">
        <v>0</v>
      </c>
      <c r="D8">
        <v>0</v>
      </c>
      <c r="E8">
        <v>0</v>
      </c>
      <c r="F8">
        <v>1</v>
      </c>
      <c r="G8">
        <v>9</v>
      </c>
      <c r="H8">
        <v>1</v>
      </c>
      <c r="I8">
        <v>0</v>
      </c>
      <c r="J8">
        <v>0</v>
      </c>
      <c r="K8">
        <v>0</v>
      </c>
      <c r="L8">
        <v>0</v>
      </c>
      <c r="N8" s="16"/>
      <c r="O8" s="2">
        <v>5</v>
      </c>
      <c r="P8" s="4">
        <f t="shared" si="1"/>
        <v>0</v>
      </c>
      <c r="Q8" s="4">
        <f t="shared" si="2"/>
        <v>0</v>
      </c>
      <c r="R8" s="4">
        <f t="shared" si="3"/>
        <v>0</v>
      </c>
      <c r="S8" s="4">
        <f t="shared" si="4"/>
        <v>0.1111111111111111</v>
      </c>
      <c r="T8" s="4">
        <f t="shared" si="5"/>
        <v>1</v>
      </c>
      <c r="U8" s="4">
        <f t="shared" si="6"/>
        <v>0.1111111111111111</v>
      </c>
      <c r="V8" s="4">
        <f t="shared" si="7"/>
        <v>0</v>
      </c>
      <c r="W8" s="4">
        <f t="shared" si="8"/>
        <v>0</v>
      </c>
      <c r="X8" s="4">
        <f t="shared" si="9"/>
        <v>0</v>
      </c>
      <c r="Y8" s="4">
        <f t="shared" si="10"/>
        <v>0</v>
      </c>
      <c r="AA8" s="5" cm="1">
        <f t="array" ref="AA8">+SUM($P$3:$Y$3*P8:Y8)</f>
        <v>0.70370370370370372</v>
      </c>
      <c r="AB8" s="7">
        <f t="shared" si="11"/>
        <v>0.23456790123456792</v>
      </c>
      <c r="AC8">
        <v>5</v>
      </c>
    </row>
    <row r="9" spans="1:29" x14ac:dyDescent="0.35">
      <c r="A9" s="16"/>
      <c r="B9" s="2">
        <v>6</v>
      </c>
      <c r="C9">
        <v>0</v>
      </c>
      <c r="D9">
        <v>0</v>
      </c>
      <c r="E9">
        <v>0</v>
      </c>
      <c r="F9">
        <v>1</v>
      </c>
      <c r="G9">
        <v>1</v>
      </c>
      <c r="H9">
        <v>9</v>
      </c>
      <c r="I9">
        <v>0</v>
      </c>
      <c r="J9">
        <v>0</v>
      </c>
      <c r="K9">
        <v>1</v>
      </c>
      <c r="L9">
        <v>1</v>
      </c>
      <c r="N9" s="16"/>
      <c r="O9" s="2">
        <v>6</v>
      </c>
      <c r="P9" s="4">
        <f t="shared" si="1"/>
        <v>0</v>
      </c>
      <c r="Q9" s="4">
        <f t="shared" si="2"/>
        <v>0</v>
      </c>
      <c r="R9" s="4">
        <f t="shared" si="3"/>
        <v>0</v>
      </c>
      <c r="S9" s="4">
        <f t="shared" si="4"/>
        <v>0.1111111111111111</v>
      </c>
      <c r="T9" s="4">
        <f t="shared" si="5"/>
        <v>0.1111111111111111</v>
      </c>
      <c r="U9" s="4">
        <f t="shared" si="6"/>
        <v>1</v>
      </c>
      <c r="V9" s="4">
        <f t="shared" si="7"/>
        <v>0</v>
      </c>
      <c r="W9" s="4">
        <f t="shared" si="8"/>
        <v>0</v>
      </c>
      <c r="X9" s="4">
        <f t="shared" si="9"/>
        <v>0.1111111111111111</v>
      </c>
      <c r="Y9" s="4">
        <f t="shared" si="10"/>
        <v>0.1111111111111111</v>
      </c>
      <c r="AA9" s="5" cm="1">
        <f t="array" ref="AA9">+SUM($P$3:$Y$3*P9:Y9)</f>
        <v>0.81481481481481488</v>
      </c>
      <c r="AB9" s="7">
        <f t="shared" si="11"/>
        <v>0.16296296296296298</v>
      </c>
      <c r="AC9">
        <v>6</v>
      </c>
    </row>
    <row r="10" spans="1:29" x14ac:dyDescent="0.35">
      <c r="A10" s="16"/>
      <c r="B10" s="2">
        <v>7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9</v>
      </c>
      <c r="J10">
        <v>0</v>
      </c>
      <c r="K10">
        <v>1</v>
      </c>
      <c r="L10">
        <v>0</v>
      </c>
      <c r="N10" s="16"/>
      <c r="O10" s="2">
        <v>7</v>
      </c>
      <c r="P10" s="4">
        <f t="shared" si="1"/>
        <v>0.1111111111111111</v>
      </c>
      <c r="Q10" s="4">
        <f t="shared" si="2"/>
        <v>0</v>
      </c>
      <c r="R10" s="4">
        <f t="shared" si="3"/>
        <v>0</v>
      </c>
      <c r="S10" s="4">
        <f t="shared" si="4"/>
        <v>0</v>
      </c>
      <c r="T10" s="4">
        <f t="shared" si="5"/>
        <v>0</v>
      </c>
      <c r="U10" s="4">
        <f t="shared" si="6"/>
        <v>0</v>
      </c>
      <c r="V10" s="4">
        <f t="shared" si="7"/>
        <v>1</v>
      </c>
      <c r="W10" s="4">
        <f t="shared" si="8"/>
        <v>0</v>
      </c>
      <c r="X10" s="4">
        <f t="shared" si="9"/>
        <v>0.1111111111111111</v>
      </c>
      <c r="Y10" s="4">
        <f t="shared" si="10"/>
        <v>0</v>
      </c>
      <c r="AA10" s="5" cm="1">
        <f t="array" ref="AA10">+SUM($P$3:$Y$3*P10:Y10)</f>
        <v>0.55555555555555558</v>
      </c>
      <c r="AB10" s="7">
        <f t="shared" si="11"/>
        <v>0.1851851851851852</v>
      </c>
      <c r="AC10">
        <v>7</v>
      </c>
    </row>
    <row r="11" spans="1:29" x14ac:dyDescent="0.35">
      <c r="A11" s="16"/>
      <c r="B11" s="2">
        <v>8</v>
      </c>
      <c r="C11">
        <v>0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9</v>
      </c>
      <c r="K11">
        <v>1</v>
      </c>
      <c r="L11">
        <v>0</v>
      </c>
      <c r="N11" s="16"/>
      <c r="O11" s="2">
        <v>8</v>
      </c>
      <c r="P11" s="4">
        <f t="shared" si="1"/>
        <v>0</v>
      </c>
      <c r="Q11" s="4">
        <f t="shared" si="2"/>
        <v>0.1111111111111111</v>
      </c>
      <c r="R11" s="4">
        <f t="shared" si="3"/>
        <v>0.1111111111111111</v>
      </c>
      <c r="S11" s="4">
        <f t="shared" si="4"/>
        <v>0</v>
      </c>
      <c r="T11" s="4">
        <f t="shared" si="5"/>
        <v>0</v>
      </c>
      <c r="U11" s="4">
        <f t="shared" si="6"/>
        <v>0</v>
      </c>
      <c r="V11" s="4">
        <f t="shared" si="7"/>
        <v>0</v>
      </c>
      <c r="W11" s="4">
        <f t="shared" si="8"/>
        <v>1</v>
      </c>
      <c r="X11" s="4">
        <f t="shared" si="9"/>
        <v>0.1111111111111111</v>
      </c>
      <c r="Y11" s="4">
        <f t="shared" si="10"/>
        <v>0</v>
      </c>
      <c r="AA11" s="5" cm="1">
        <f t="array" ref="AA11">+SUM($P$3:$Y$3*P11:Y11)</f>
        <v>0.50617283950617287</v>
      </c>
      <c r="AB11" s="7">
        <f t="shared" si="11"/>
        <v>0.12654320987654322</v>
      </c>
      <c r="AC11">
        <v>8</v>
      </c>
    </row>
    <row r="12" spans="1:29" x14ac:dyDescent="0.35">
      <c r="A12" s="16"/>
      <c r="B12" s="2">
        <v>9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1</v>
      </c>
      <c r="K12">
        <v>9</v>
      </c>
      <c r="L12">
        <v>0</v>
      </c>
      <c r="N12" s="16"/>
      <c r="O12" s="2">
        <v>9</v>
      </c>
      <c r="P12" s="4">
        <f t="shared" si="1"/>
        <v>0</v>
      </c>
      <c r="Q12" s="4">
        <f t="shared" si="2"/>
        <v>0</v>
      </c>
      <c r="R12" s="4">
        <f t="shared" si="3"/>
        <v>0</v>
      </c>
      <c r="S12" s="4">
        <f t="shared" si="4"/>
        <v>0</v>
      </c>
      <c r="T12" s="4">
        <f t="shared" si="5"/>
        <v>0</v>
      </c>
      <c r="U12" s="4">
        <f t="shared" si="6"/>
        <v>0.1111111111111111</v>
      </c>
      <c r="V12" s="4">
        <f t="shared" si="7"/>
        <v>0.1111111111111111</v>
      </c>
      <c r="W12" s="4">
        <f t="shared" si="8"/>
        <v>0.1111111111111111</v>
      </c>
      <c r="X12" s="4">
        <f t="shared" si="9"/>
        <v>1</v>
      </c>
      <c r="Y12" s="4">
        <f t="shared" si="10"/>
        <v>0</v>
      </c>
      <c r="AA12" s="5" cm="1">
        <f t="array" ref="AA12">+SUM($P$3:$Y$3*P12:Y12)</f>
        <v>0.70370370370370372</v>
      </c>
      <c r="AB12" s="7">
        <f t="shared" si="11"/>
        <v>0.17592592592592593</v>
      </c>
      <c r="AC12">
        <v>9</v>
      </c>
    </row>
    <row r="13" spans="1:29" x14ac:dyDescent="0.35">
      <c r="A13" s="16"/>
      <c r="B13" s="2">
        <v>10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9</v>
      </c>
      <c r="N13" s="16"/>
      <c r="O13" s="2">
        <v>10</v>
      </c>
      <c r="P13" s="4">
        <f t="shared" si="1"/>
        <v>0</v>
      </c>
      <c r="Q13" s="4">
        <f t="shared" si="2"/>
        <v>0</v>
      </c>
      <c r="R13" s="4">
        <f t="shared" si="3"/>
        <v>0</v>
      </c>
      <c r="S13" s="4">
        <f t="shared" si="4"/>
        <v>0</v>
      </c>
      <c r="T13" s="4">
        <f t="shared" si="5"/>
        <v>0</v>
      </c>
      <c r="U13" s="4">
        <f t="shared" si="6"/>
        <v>0.1111111111111111</v>
      </c>
      <c r="V13" s="4">
        <f t="shared" si="7"/>
        <v>0</v>
      </c>
      <c r="W13" s="4">
        <f t="shared" si="8"/>
        <v>0</v>
      </c>
      <c r="X13" s="4">
        <f t="shared" si="9"/>
        <v>0</v>
      </c>
      <c r="Y13" s="4">
        <f t="shared" si="10"/>
        <v>1</v>
      </c>
      <c r="AA13" s="5" cm="1">
        <f t="array" ref="AA13">+SUM($P$3:$Y$3*P13:Y13)</f>
        <v>0.50617283950617287</v>
      </c>
      <c r="AB13" s="7">
        <f t="shared" si="11"/>
        <v>0.25308641975308643</v>
      </c>
      <c r="AC13">
        <v>10</v>
      </c>
    </row>
    <row r="15" spans="1:29" x14ac:dyDescent="0.35">
      <c r="P15" s="4"/>
      <c r="AA15" t="s">
        <v>6</v>
      </c>
      <c r="AC15" s="6">
        <f>SUM(AB4:AB13)/COUNT(AC4:AC13)</f>
        <v>0.22226337448559672</v>
      </c>
    </row>
    <row r="16" spans="1:29" x14ac:dyDescent="0.35">
      <c r="A16" t="s">
        <v>11</v>
      </c>
      <c r="N16" t="s">
        <v>7</v>
      </c>
    </row>
    <row r="17" spans="1:29" x14ac:dyDescent="0.35">
      <c r="A17" t="s">
        <v>0</v>
      </c>
      <c r="C17">
        <v>1</v>
      </c>
      <c r="D17">
        <v>2</v>
      </c>
      <c r="E17">
        <v>3</v>
      </c>
      <c r="F17">
        <v>4</v>
      </c>
      <c r="G17">
        <v>5</v>
      </c>
      <c r="H17">
        <v>6</v>
      </c>
      <c r="I17">
        <v>7</v>
      </c>
      <c r="J17">
        <v>8</v>
      </c>
      <c r="K17">
        <v>9</v>
      </c>
      <c r="L17">
        <v>10</v>
      </c>
      <c r="N17" t="s">
        <v>0</v>
      </c>
      <c r="P17">
        <v>1</v>
      </c>
      <c r="Q17">
        <v>2</v>
      </c>
      <c r="R17">
        <v>3</v>
      </c>
      <c r="S17">
        <v>4</v>
      </c>
      <c r="T17">
        <v>5</v>
      </c>
      <c r="U17">
        <v>6</v>
      </c>
      <c r="V17">
        <v>7</v>
      </c>
      <c r="W17">
        <v>8</v>
      </c>
      <c r="X17">
        <v>9</v>
      </c>
      <c r="Y17">
        <v>10</v>
      </c>
    </row>
    <row r="18" spans="1:29" x14ac:dyDescent="0.35">
      <c r="B18" t="s">
        <v>2</v>
      </c>
      <c r="C18" s="2">
        <v>1</v>
      </c>
      <c r="D18" s="2">
        <f>C18</f>
        <v>1</v>
      </c>
      <c r="E18" s="2">
        <f t="shared" ref="E18:L18" si="12">D18</f>
        <v>1</v>
      </c>
      <c r="F18" s="2">
        <f t="shared" si="12"/>
        <v>1</v>
      </c>
      <c r="G18" s="2">
        <f t="shared" si="12"/>
        <v>1</v>
      </c>
      <c r="H18" s="2">
        <f t="shared" si="12"/>
        <v>1</v>
      </c>
      <c r="I18" s="2">
        <f t="shared" si="12"/>
        <v>1</v>
      </c>
      <c r="J18" s="2">
        <f t="shared" si="12"/>
        <v>1</v>
      </c>
      <c r="K18" s="2">
        <f t="shared" si="12"/>
        <v>1</v>
      </c>
      <c r="L18" s="2">
        <f t="shared" si="12"/>
        <v>1</v>
      </c>
      <c r="O18" t="s">
        <v>2</v>
      </c>
      <c r="P18" s="3">
        <f>1/9*C18</f>
        <v>0.1111111111111111</v>
      </c>
      <c r="Q18" s="3">
        <f t="shared" ref="Q18:Q19" si="13">1/9*D18</f>
        <v>0.1111111111111111</v>
      </c>
      <c r="R18" s="3">
        <f t="shared" ref="R18:R19" si="14">1/9*E18</f>
        <v>0.1111111111111111</v>
      </c>
      <c r="S18" s="3">
        <f t="shared" ref="S18:S19" si="15">1/9*F18</f>
        <v>0.1111111111111111</v>
      </c>
      <c r="T18" s="3">
        <f t="shared" ref="T18:T19" si="16">1/9*G18</f>
        <v>0.1111111111111111</v>
      </c>
      <c r="U18" s="3">
        <f t="shared" ref="U18:U19" si="17">1/9*H18</f>
        <v>0.1111111111111111</v>
      </c>
      <c r="V18" s="3">
        <f t="shared" ref="V18:V19" si="18">1/9*I18</f>
        <v>0.1111111111111111</v>
      </c>
      <c r="W18" s="3">
        <f t="shared" ref="W18:W19" si="19">1/9*J18</f>
        <v>0.1111111111111111</v>
      </c>
      <c r="X18" s="3">
        <f t="shared" ref="X18:X19" si="20">1/9*K18</f>
        <v>0.1111111111111111</v>
      </c>
      <c r="Y18" s="3">
        <f t="shared" ref="Y18:Y19" si="21">1/9*L18</f>
        <v>0.1111111111111111</v>
      </c>
      <c r="AB18" t="s">
        <v>6</v>
      </c>
    </row>
    <row r="19" spans="1:29" x14ac:dyDescent="0.35">
      <c r="A19" s="8" t="s">
        <v>1</v>
      </c>
      <c r="B19" s="2">
        <v>1</v>
      </c>
      <c r="C19">
        <v>1</v>
      </c>
      <c r="D19">
        <f>C19</f>
        <v>1</v>
      </c>
      <c r="E19">
        <f t="shared" ref="E19:L19" si="22">D19</f>
        <v>1</v>
      </c>
      <c r="F19">
        <f t="shared" si="22"/>
        <v>1</v>
      </c>
      <c r="G19">
        <f t="shared" si="22"/>
        <v>1</v>
      </c>
      <c r="H19">
        <f t="shared" si="22"/>
        <v>1</v>
      </c>
      <c r="I19">
        <f t="shared" si="22"/>
        <v>1</v>
      </c>
      <c r="J19">
        <f t="shared" si="22"/>
        <v>1</v>
      </c>
      <c r="K19">
        <f t="shared" si="22"/>
        <v>1</v>
      </c>
      <c r="L19">
        <f t="shared" si="22"/>
        <v>1</v>
      </c>
      <c r="N19" s="8" t="s">
        <v>1</v>
      </c>
      <c r="O19" s="2">
        <v>1</v>
      </c>
      <c r="P19" s="4">
        <f t="shared" ref="P19" si="23">1/9*C19</f>
        <v>0.1111111111111111</v>
      </c>
      <c r="Q19" s="4">
        <f t="shared" si="13"/>
        <v>0.1111111111111111</v>
      </c>
      <c r="R19" s="4">
        <f t="shared" si="14"/>
        <v>0.1111111111111111</v>
      </c>
      <c r="S19" s="4">
        <f t="shared" si="15"/>
        <v>0.1111111111111111</v>
      </c>
      <c r="T19" s="4">
        <f t="shared" si="16"/>
        <v>0.1111111111111111</v>
      </c>
      <c r="U19" s="4">
        <f t="shared" si="17"/>
        <v>0.1111111111111111</v>
      </c>
      <c r="V19" s="4">
        <f t="shared" si="18"/>
        <v>0.1111111111111111</v>
      </c>
      <c r="W19" s="4">
        <f t="shared" si="19"/>
        <v>0.1111111111111111</v>
      </c>
      <c r="X19" s="4">
        <f t="shared" si="20"/>
        <v>0.1111111111111111</v>
      </c>
      <c r="Y19" s="4">
        <f t="shared" si="21"/>
        <v>0.1111111111111111</v>
      </c>
      <c r="AA19" s="5" cm="1">
        <f t="array" ref="AA19">+SUM($P$18:$Y$18*P19:Y19)</f>
        <v>0.12345679012345678</v>
      </c>
      <c r="AB19" s="19">
        <f>+AA19/COUNTIF(P19:Y19,"&gt;0")</f>
        <v>1.2345679012345678E-2</v>
      </c>
    </row>
    <row r="20" spans="1:29" x14ac:dyDescent="0.35">
      <c r="P20" s="18">
        <f>+P18*P19</f>
        <v>1.2345679012345678E-2</v>
      </c>
    </row>
    <row r="21" spans="1:29" x14ac:dyDescent="0.35">
      <c r="AC21" s="6"/>
    </row>
    <row r="22" spans="1:29" x14ac:dyDescent="0.35">
      <c r="A22" t="s">
        <v>12</v>
      </c>
      <c r="N22" t="s">
        <v>7</v>
      </c>
    </row>
    <row r="23" spans="1:29" x14ac:dyDescent="0.35">
      <c r="A23" t="s">
        <v>0</v>
      </c>
      <c r="C23">
        <v>1</v>
      </c>
      <c r="D23">
        <v>2</v>
      </c>
      <c r="E23">
        <v>3</v>
      </c>
      <c r="F23">
        <v>4</v>
      </c>
      <c r="G23">
        <v>5</v>
      </c>
      <c r="H23">
        <v>6</v>
      </c>
      <c r="I23">
        <v>7</v>
      </c>
      <c r="J23">
        <v>8</v>
      </c>
      <c r="K23">
        <v>9</v>
      </c>
      <c r="L23">
        <v>10</v>
      </c>
      <c r="N23" t="s">
        <v>0</v>
      </c>
      <c r="P23">
        <v>1</v>
      </c>
      <c r="Q23">
        <v>2</v>
      </c>
      <c r="R23">
        <v>3</v>
      </c>
      <c r="S23">
        <v>4</v>
      </c>
      <c r="T23">
        <v>5</v>
      </c>
      <c r="U23">
        <v>6</v>
      </c>
      <c r="V23">
        <v>7</v>
      </c>
      <c r="W23">
        <v>8</v>
      </c>
      <c r="X23">
        <v>9</v>
      </c>
      <c r="Y23">
        <v>10</v>
      </c>
    </row>
    <row r="24" spans="1:29" x14ac:dyDescent="0.35">
      <c r="B24" t="s">
        <v>2</v>
      </c>
      <c r="C24" s="2">
        <v>2</v>
      </c>
      <c r="D24" s="2">
        <f>C24</f>
        <v>2</v>
      </c>
      <c r="E24" s="2">
        <f t="shared" ref="E24:L24" si="24">D24</f>
        <v>2</v>
      </c>
      <c r="F24" s="2">
        <f t="shared" si="24"/>
        <v>2</v>
      </c>
      <c r="G24" s="2">
        <f t="shared" si="24"/>
        <v>2</v>
      </c>
      <c r="H24" s="2">
        <f t="shared" si="24"/>
        <v>2</v>
      </c>
      <c r="I24" s="2">
        <f t="shared" si="24"/>
        <v>2</v>
      </c>
      <c r="J24" s="2">
        <f t="shared" si="24"/>
        <v>2</v>
      </c>
      <c r="K24" s="2">
        <f t="shared" si="24"/>
        <v>2</v>
      </c>
      <c r="L24" s="2">
        <f t="shared" si="24"/>
        <v>2</v>
      </c>
      <c r="O24" t="s">
        <v>2</v>
      </c>
      <c r="P24" s="3">
        <f>1/9*C24</f>
        <v>0.22222222222222221</v>
      </c>
      <c r="Q24" s="3">
        <f t="shared" ref="Q24:Q25" si="25">1/9*D24</f>
        <v>0.22222222222222221</v>
      </c>
      <c r="R24" s="3">
        <f t="shared" ref="R24:R25" si="26">1/9*E24</f>
        <v>0.22222222222222221</v>
      </c>
      <c r="S24" s="3">
        <f t="shared" ref="S24:S25" si="27">1/9*F24</f>
        <v>0.22222222222222221</v>
      </c>
      <c r="T24" s="3">
        <f t="shared" ref="T24:T25" si="28">1/9*G24</f>
        <v>0.22222222222222221</v>
      </c>
      <c r="U24" s="3">
        <f t="shared" ref="U24:U25" si="29">1/9*H24</f>
        <v>0.22222222222222221</v>
      </c>
      <c r="V24" s="3">
        <f t="shared" ref="V24:V25" si="30">1/9*I24</f>
        <v>0.22222222222222221</v>
      </c>
      <c r="W24" s="3">
        <f t="shared" ref="W24:W25" si="31">1/9*J24</f>
        <v>0.22222222222222221</v>
      </c>
      <c r="X24" s="3">
        <f t="shared" ref="X24:X25" si="32">1/9*K24</f>
        <v>0.22222222222222221</v>
      </c>
      <c r="Y24" s="3">
        <f t="shared" ref="Y24:Y25" si="33">1/9*L24</f>
        <v>0.22222222222222221</v>
      </c>
      <c r="AB24" t="s">
        <v>6</v>
      </c>
    </row>
    <row r="25" spans="1:29" x14ac:dyDescent="0.35">
      <c r="A25" s="8" t="s">
        <v>1</v>
      </c>
      <c r="B25" s="2">
        <v>1</v>
      </c>
      <c r="C25">
        <v>2</v>
      </c>
      <c r="D25">
        <f>C25</f>
        <v>2</v>
      </c>
      <c r="E25">
        <f t="shared" ref="E25:L25" si="34">D25</f>
        <v>2</v>
      </c>
      <c r="F25">
        <f t="shared" si="34"/>
        <v>2</v>
      </c>
      <c r="G25">
        <f t="shared" si="34"/>
        <v>2</v>
      </c>
      <c r="H25">
        <f t="shared" si="34"/>
        <v>2</v>
      </c>
      <c r="I25">
        <f t="shared" si="34"/>
        <v>2</v>
      </c>
      <c r="J25">
        <f t="shared" si="34"/>
        <v>2</v>
      </c>
      <c r="K25">
        <f t="shared" si="34"/>
        <v>2</v>
      </c>
      <c r="L25">
        <f t="shared" si="34"/>
        <v>2</v>
      </c>
      <c r="N25" s="8" t="s">
        <v>1</v>
      </c>
      <c r="O25" s="2">
        <v>1</v>
      </c>
      <c r="P25" s="4">
        <f t="shared" ref="P25" si="35">1/9*C25</f>
        <v>0.22222222222222221</v>
      </c>
      <c r="Q25" s="4">
        <f t="shared" si="25"/>
        <v>0.22222222222222221</v>
      </c>
      <c r="R25" s="4">
        <f t="shared" si="26"/>
        <v>0.22222222222222221</v>
      </c>
      <c r="S25" s="4">
        <f t="shared" si="27"/>
        <v>0.22222222222222221</v>
      </c>
      <c r="T25" s="4">
        <f t="shared" si="28"/>
        <v>0.22222222222222221</v>
      </c>
      <c r="U25" s="4">
        <f t="shared" si="29"/>
        <v>0.22222222222222221</v>
      </c>
      <c r="V25" s="4">
        <f t="shared" si="30"/>
        <v>0.22222222222222221</v>
      </c>
      <c r="W25" s="4">
        <f t="shared" si="31"/>
        <v>0.22222222222222221</v>
      </c>
      <c r="X25" s="4">
        <f t="shared" si="32"/>
        <v>0.22222222222222221</v>
      </c>
      <c r="Y25" s="4">
        <f t="shared" si="33"/>
        <v>0.22222222222222221</v>
      </c>
      <c r="AA25" s="5" cm="1">
        <f t="array" ref="AA25">+SUM(P24:Y24*P25:Y25)</f>
        <v>0.49382716049382713</v>
      </c>
      <c r="AB25" s="7">
        <f>+AA25/COUNTIF(P25:Y25,"&gt;0")</f>
        <v>4.9382716049382713E-2</v>
      </c>
    </row>
    <row r="26" spans="1:29" x14ac:dyDescent="0.35">
      <c r="P26" s="18">
        <f>+P24*P25</f>
        <v>4.9382716049382713E-2</v>
      </c>
    </row>
    <row r="28" spans="1:29" x14ac:dyDescent="0.35">
      <c r="A28" t="s">
        <v>13</v>
      </c>
      <c r="N28" t="s">
        <v>7</v>
      </c>
    </row>
    <row r="29" spans="1:29" x14ac:dyDescent="0.35">
      <c r="A29" t="s">
        <v>0</v>
      </c>
      <c r="C29">
        <v>1</v>
      </c>
      <c r="D29">
        <v>2</v>
      </c>
      <c r="E29">
        <v>3</v>
      </c>
      <c r="F29">
        <v>4</v>
      </c>
      <c r="G29">
        <v>5</v>
      </c>
      <c r="H29">
        <v>6</v>
      </c>
      <c r="I29">
        <v>7</v>
      </c>
      <c r="J29">
        <v>8</v>
      </c>
      <c r="K29">
        <v>9</v>
      </c>
      <c r="L29">
        <v>10</v>
      </c>
      <c r="N29" t="s">
        <v>0</v>
      </c>
      <c r="P29">
        <v>1</v>
      </c>
      <c r="Q29">
        <v>2</v>
      </c>
      <c r="R29">
        <v>3</v>
      </c>
      <c r="S29">
        <v>4</v>
      </c>
      <c r="T29">
        <v>5</v>
      </c>
      <c r="U29">
        <v>6</v>
      </c>
      <c r="V29">
        <v>7</v>
      </c>
      <c r="W29">
        <v>8</v>
      </c>
      <c r="X29">
        <v>9</v>
      </c>
      <c r="Y29">
        <v>10</v>
      </c>
    </row>
    <row r="30" spans="1:29" x14ac:dyDescent="0.35">
      <c r="B30" t="s">
        <v>2</v>
      </c>
      <c r="C30" s="2">
        <v>3</v>
      </c>
      <c r="D30" s="2">
        <f>C30</f>
        <v>3</v>
      </c>
      <c r="E30" s="2">
        <f t="shared" ref="E30:L30" si="36">D30</f>
        <v>3</v>
      </c>
      <c r="F30" s="2">
        <f t="shared" si="36"/>
        <v>3</v>
      </c>
      <c r="G30" s="2">
        <f t="shared" si="36"/>
        <v>3</v>
      </c>
      <c r="H30" s="2">
        <f t="shared" si="36"/>
        <v>3</v>
      </c>
      <c r="I30" s="2">
        <f t="shared" si="36"/>
        <v>3</v>
      </c>
      <c r="J30" s="2">
        <f t="shared" si="36"/>
        <v>3</v>
      </c>
      <c r="K30" s="2">
        <f t="shared" si="36"/>
        <v>3</v>
      </c>
      <c r="L30" s="2">
        <f t="shared" si="36"/>
        <v>3</v>
      </c>
      <c r="O30" t="s">
        <v>2</v>
      </c>
      <c r="P30" s="3">
        <f>1/9*C30</f>
        <v>0.33333333333333331</v>
      </c>
      <c r="Q30" s="3">
        <f t="shared" ref="Q30:Q31" si="37">1/9*D30</f>
        <v>0.33333333333333331</v>
      </c>
      <c r="R30" s="3">
        <f t="shared" ref="R30:R31" si="38">1/9*E30</f>
        <v>0.33333333333333331</v>
      </c>
      <c r="S30" s="3">
        <f t="shared" ref="S30:S31" si="39">1/9*F30</f>
        <v>0.33333333333333331</v>
      </c>
      <c r="T30" s="3">
        <f t="shared" ref="T30:T31" si="40">1/9*G30</f>
        <v>0.33333333333333331</v>
      </c>
      <c r="U30" s="3">
        <f t="shared" ref="U30:U31" si="41">1/9*H30</f>
        <v>0.33333333333333331</v>
      </c>
      <c r="V30" s="3">
        <f t="shared" ref="V30:V31" si="42">1/9*I30</f>
        <v>0.33333333333333331</v>
      </c>
      <c r="W30" s="3">
        <f t="shared" ref="W30:W31" si="43">1/9*J30</f>
        <v>0.33333333333333331</v>
      </c>
      <c r="X30" s="3">
        <f t="shared" ref="X30:X31" si="44">1/9*K30</f>
        <v>0.33333333333333331</v>
      </c>
      <c r="Y30" s="3">
        <f t="shared" ref="Y30:Y31" si="45">1/9*L30</f>
        <v>0.33333333333333331</v>
      </c>
      <c r="AB30" t="s">
        <v>6</v>
      </c>
    </row>
    <row r="31" spans="1:29" x14ac:dyDescent="0.35">
      <c r="A31" s="8" t="s">
        <v>1</v>
      </c>
      <c r="B31" s="2">
        <v>1</v>
      </c>
      <c r="C31">
        <v>3</v>
      </c>
      <c r="D31">
        <f>C31</f>
        <v>3</v>
      </c>
      <c r="E31">
        <f t="shared" ref="E31:L31" si="46">D31</f>
        <v>3</v>
      </c>
      <c r="F31">
        <f t="shared" si="46"/>
        <v>3</v>
      </c>
      <c r="G31">
        <f t="shared" si="46"/>
        <v>3</v>
      </c>
      <c r="H31">
        <f t="shared" si="46"/>
        <v>3</v>
      </c>
      <c r="I31">
        <f t="shared" si="46"/>
        <v>3</v>
      </c>
      <c r="J31">
        <f t="shared" si="46"/>
        <v>3</v>
      </c>
      <c r="K31">
        <f t="shared" si="46"/>
        <v>3</v>
      </c>
      <c r="L31">
        <f t="shared" si="46"/>
        <v>3</v>
      </c>
      <c r="N31" s="8" t="s">
        <v>1</v>
      </c>
      <c r="O31" s="2">
        <v>1</v>
      </c>
      <c r="P31" s="4">
        <f t="shared" ref="P31" si="47">1/9*C31</f>
        <v>0.33333333333333331</v>
      </c>
      <c r="Q31" s="4">
        <f t="shared" si="37"/>
        <v>0.33333333333333331</v>
      </c>
      <c r="R31" s="4">
        <f t="shared" si="38"/>
        <v>0.33333333333333331</v>
      </c>
      <c r="S31" s="4">
        <f t="shared" si="39"/>
        <v>0.33333333333333331</v>
      </c>
      <c r="T31" s="4">
        <f t="shared" si="40"/>
        <v>0.33333333333333331</v>
      </c>
      <c r="U31" s="4">
        <f t="shared" si="41"/>
        <v>0.33333333333333331</v>
      </c>
      <c r="V31" s="4">
        <f t="shared" si="42"/>
        <v>0.33333333333333331</v>
      </c>
      <c r="W31" s="4">
        <f t="shared" si="43"/>
        <v>0.33333333333333331</v>
      </c>
      <c r="X31" s="4">
        <f t="shared" si="44"/>
        <v>0.33333333333333331</v>
      </c>
      <c r="Y31" s="4">
        <f t="shared" si="45"/>
        <v>0.33333333333333331</v>
      </c>
      <c r="AA31" s="5" cm="1">
        <f t="array" ref="AA31">+SUM(P30:Y30*P31:Y31)</f>
        <v>1.1111111111111114</v>
      </c>
      <c r="AB31" s="7">
        <f>+AA31/COUNTIF(P31:Y31,"&gt;0")</f>
        <v>0.11111111111111113</v>
      </c>
    </row>
    <row r="34" spans="1:28" x14ac:dyDescent="0.35">
      <c r="A34" t="s">
        <v>14</v>
      </c>
      <c r="N34" t="s">
        <v>7</v>
      </c>
    </row>
    <row r="35" spans="1:28" x14ac:dyDescent="0.35">
      <c r="A35" t="s">
        <v>0</v>
      </c>
      <c r="C35">
        <v>1</v>
      </c>
      <c r="D35">
        <v>2</v>
      </c>
      <c r="E35">
        <v>3</v>
      </c>
      <c r="F35">
        <v>4</v>
      </c>
      <c r="G35">
        <v>5</v>
      </c>
      <c r="H35">
        <v>6</v>
      </c>
      <c r="I35">
        <v>7</v>
      </c>
      <c r="J35">
        <v>8</v>
      </c>
      <c r="K35">
        <v>9</v>
      </c>
      <c r="L35">
        <v>10</v>
      </c>
      <c r="N35" t="s">
        <v>0</v>
      </c>
      <c r="P35">
        <v>1</v>
      </c>
      <c r="Q35">
        <v>2</v>
      </c>
      <c r="R35">
        <v>3</v>
      </c>
      <c r="S35">
        <v>4</v>
      </c>
      <c r="T35">
        <v>5</v>
      </c>
      <c r="U35">
        <v>6</v>
      </c>
      <c r="V35">
        <v>7</v>
      </c>
      <c r="W35">
        <v>8</v>
      </c>
      <c r="X35">
        <v>9</v>
      </c>
      <c r="Y35">
        <v>10</v>
      </c>
    </row>
    <row r="36" spans="1:28" x14ac:dyDescent="0.35">
      <c r="B36" t="s">
        <v>2</v>
      </c>
      <c r="C36" s="2">
        <v>4</v>
      </c>
      <c r="D36" s="2">
        <f>C36</f>
        <v>4</v>
      </c>
      <c r="E36" s="2">
        <f t="shared" ref="E36:L36" si="48">D36</f>
        <v>4</v>
      </c>
      <c r="F36" s="2">
        <f t="shared" si="48"/>
        <v>4</v>
      </c>
      <c r="G36" s="2">
        <f t="shared" si="48"/>
        <v>4</v>
      </c>
      <c r="H36" s="2">
        <f t="shared" si="48"/>
        <v>4</v>
      </c>
      <c r="I36" s="2">
        <f t="shared" si="48"/>
        <v>4</v>
      </c>
      <c r="J36" s="2">
        <f t="shared" si="48"/>
        <v>4</v>
      </c>
      <c r="K36" s="2">
        <f t="shared" si="48"/>
        <v>4</v>
      </c>
      <c r="L36" s="2">
        <f t="shared" si="48"/>
        <v>4</v>
      </c>
      <c r="O36" t="s">
        <v>2</v>
      </c>
      <c r="P36" s="3">
        <f>1/9*C36</f>
        <v>0.44444444444444442</v>
      </c>
      <c r="Q36" s="3">
        <f t="shared" ref="Q36:Q37" si="49">1/9*D36</f>
        <v>0.44444444444444442</v>
      </c>
      <c r="R36" s="3">
        <f t="shared" ref="R36:R37" si="50">1/9*E36</f>
        <v>0.44444444444444442</v>
      </c>
      <c r="S36" s="3">
        <f t="shared" ref="S36:S37" si="51">1/9*F36</f>
        <v>0.44444444444444442</v>
      </c>
      <c r="T36" s="3">
        <f t="shared" ref="T36:T37" si="52">1/9*G36</f>
        <v>0.44444444444444442</v>
      </c>
      <c r="U36" s="3">
        <f t="shared" ref="U36:U37" si="53">1/9*H36</f>
        <v>0.44444444444444442</v>
      </c>
      <c r="V36" s="3">
        <f t="shared" ref="V36:V37" si="54">1/9*I36</f>
        <v>0.44444444444444442</v>
      </c>
      <c r="W36" s="3">
        <f t="shared" ref="W36:W37" si="55">1/9*J36</f>
        <v>0.44444444444444442</v>
      </c>
      <c r="X36" s="3">
        <f t="shared" ref="X36:X37" si="56">1/9*K36</f>
        <v>0.44444444444444442</v>
      </c>
      <c r="Y36" s="3">
        <f t="shared" ref="Y36:Y37" si="57">1/9*L36</f>
        <v>0.44444444444444442</v>
      </c>
      <c r="AB36" t="s">
        <v>6</v>
      </c>
    </row>
    <row r="37" spans="1:28" x14ac:dyDescent="0.35">
      <c r="A37" s="8" t="s">
        <v>1</v>
      </c>
      <c r="B37" s="2">
        <v>1</v>
      </c>
      <c r="C37">
        <v>4</v>
      </c>
      <c r="D37">
        <f>C37</f>
        <v>4</v>
      </c>
      <c r="E37">
        <f t="shared" ref="E37:L37" si="58">D37</f>
        <v>4</v>
      </c>
      <c r="F37">
        <f t="shared" si="58"/>
        <v>4</v>
      </c>
      <c r="G37">
        <f t="shared" si="58"/>
        <v>4</v>
      </c>
      <c r="H37">
        <f t="shared" si="58"/>
        <v>4</v>
      </c>
      <c r="I37">
        <f t="shared" si="58"/>
        <v>4</v>
      </c>
      <c r="J37">
        <f t="shared" si="58"/>
        <v>4</v>
      </c>
      <c r="K37">
        <f t="shared" si="58"/>
        <v>4</v>
      </c>
      <c r="L37">
        <f t="shared" si="58"/>
        <v>4</v>
      </c>
      <c r="N37" s="8" t="s">
        <v>1</v>
      </c>
      <c r="O37" s="2">
        <v>1</v>
      </c>
      <c r="P37" s="4">
        <f t="shared" ref="P37" si="59">1/9*C37</f>
        <v>0.44444444444444442</v>
      </c>
      <c r="Q37" s="4">
        <f t="shared" si="49"/>
        <v>0.44444444444444442</v>
      </c>
      <c r="R37" s="4">
        <f t="shared" si="50"/>
        <v>0.44444444444444442</v>
      </c>
      <c r="S37" s="4">
        <f t="shared" si="51"/>
        <v>0.44444444444444442</v>
      </c>
      <c r="T37" s="4">
        <f t="shared" si="52"/>
        <v>0.44444444444444442</v>
      </c>
      <c r="U37" s="4">
        <f t="shared" si="53"/>
        <v>0.44444444444444442</v>
      </c>
      <c r="V37" s="4">
        <f t="shared" si="54"/>
        <v>0.44444444444444442</v>
      </c>
      <c r="W37" s="4">
        <f t="shared" si="55"/>
        <v>0.44444444444444442</v>
      </c>
      <c r="X37" s="4">
        <f t="shared" si="56"/>
        <v>0.44444444444444442</v>
      </c>
      <c r="Y37" s="4">
        <f t="shared" si="57"/>
        <v>0.44444444444444442</v>
      </c>
      <c r="AA37" s="5" cm="1">
        <f t="array" ref="AA37">+SUM(P36:Y36*P37:Y37)</f>
        <v>1.9753086419753085</v>
      </c>
      <c r="AB37" s="7">
        <f>+AA37/COUNTIF(P37:Y37,"&gt;0")</f>
        <v>0.19753086419753085</v>
      </c>
    </row>
    <row r="40" spans="1:28" x14ac:dyDescent="0.35">
      <c r="A40" t="s">
        <v>15</v>
      </c>
      <c r="N40" t="s">
        <v>7</v>
      </c>
    </row>
    <row r="41" spans="1:28" x14ac:dyDescent="0.35">
      <c r="A41" t="s">
        <v>0</v>
      </c>
      <c r="C41">
        <v>1</v>
      </c>
      <c r="D41">
        <v>2</v>
      </c>
      <c r="E41">
        <v>3</v>
      </c>
      <c r="F41">
        <v>4</v>
      </c>
      <c r="G41">
        <v>5</v>
      </c>
      <c r="H41">
        <v>6</v>
      </c>
      <c r="I41">
        <v>7</v>
      </c>
      <c r="J41">
        <v>8</v>
      </c>
      <c r="K41">
        <v>9</v>
      </c>
      <c r="L41">
        <v>10</v>
      </c>
      <c r="N41" t="s">
        <v>0</v>
      </c>
      <c r="P41">
        <v>1</v>
      </c>
      <c r="Q41">
        <v>2</v>
      </c>
      <c r="R41">
        <v>3</v>
      </c>
      <c r="S41">
        <v>4</v>
      </c>
      <c r="T41">
        <v>5</v>
      </c>
      <c r="U41">
        <v>6</v>
      </c>
      <c r="V41">
        <v>7</v>
      </c>
      <c r="W41">
        <v>8</v>
      </c>
      <c r="X41">
        <v>9</v>
      </c>
      <c r="Y41">
        <v>10</v>
      </c>
    </row>
    <row r="42" spans="1:28" x14ac:dyDescent="0.35">
      <c r="B42" t="s">
        <v>2</v>
      </c>
      <c r="C42" s="2">
        <v>5</v>
      </c>
      <c r="D42" s="2">
        <f>C42</f>
        <v>5</v>
      </c>
      <c r="E42" s="2">
        <f t="shared" ref="E42:L42" si="60">D42</f>
        <v>5</v>
      </c>
      <c r="F42" s="2">
        <f t="shared" si="60"/>
        <v>5</v>
      </c>
      <c r="G42" s="2">
        <f t="shared" si="60"/>
        <v>5</v>
      </c>
      <c r="H42" s="2">
        <f t="shared" si="60"/>
        <v>5</v>
      </c>
      <c r="I42" s="2">
        <f t="shared" si="60"/>
        <v>5</v>
      </c>
      <c r="J42" s="2">
        <f t="shared" si="60"/>
        <v>5</v>
      </c>
      <c r="K42" s="2">
        <f t="shared" si="60"/>
        <v>5</v>
      </c>
      <c r="L42" s="2">
        <f t="shared" si="60"/>
        <v>5</v>
      </c>
      <c r="O42" t="s">
        <v>2</v>
      </c>
      <c r="P42" s="3">
        <f>1/9*C42</f>
        <v>0.55555555555555558</v>
      </c>
      <c r="Q42" s="3">
        <f t="shared" ref="Q42:Q43" si="61">1/9*D42</f>
        <v>0.55555555555555558</v>
      </c>
      <c r="R42" s="3">
        <f t="shared" ref="R42:R43" si="62">1/9*E42</f>
        <v>0.55555555555555558</v>
      </c>
      <c r="S42" s="3">
        <f t="shared" ref="S42:S43" si="63">1/9*F42</f>
        <v>0.55555555555555558</v>
      </c>
      <c r="T42" s="3">
        <f t="shared" ref="T42:T43" si="64">1/9*G42</f>
        <v>0.55555555555555558</v>
      </c>
      <c r="U42" s="3">
        <f t="shared" ref="U42:U43" si="65">1/9*H42</f>
        <v>0.55555555555555558</v>
      </c>
      <c r="V42" s="3">
        <f t="shared" ref="V42:V43" si="66">1/9*I42</f>
        <v>0.55555555555555558</v>
      </c>
      <c r="W42" s="3">
        <f t="shared" ref="W42:W43" si="67">1/9*J42</f>
        <v>0.55555555555555558</v>
      </c>
      <c r="X42" s="3">
        <f t="shared" ref="X42:X43" si="68">1/9*K42</f>
        <v>0.55555555555555558</v>
      </c>
      <c r="Y42" s="3">
        <f t="shared" ref="Y42:Y43" si="69">1/9*L42</f>
        <v>0.55555555555555558</v>
      </c>
      <c r="AB42" t="s">
        <v>6</v>
      </c>
    </row>
    <row r="43" spans="1:28" x14ac:dyDescent="0.35">
      <c r="A43" s="8" t="s">
        <v>1</v>
      </c>
      <c r="B43" s="2">
        <v>1</v>
      </c>
      <c r="C43">
        <v>5</v>
      </c>
      <c r="D43">
        <f>C43</f>
        <v>5</v>
      </c>
      <c r="E43">
        <f t="shared" ref="E43:L43" si="70">D43</f>
        <v>5</v>
      </c>
      <c r="F43">
        <f t="shared" si="70"/>
        <v>5</v>
      </c>
      <c r="G43">
        <f t="shared" si="70"/>
        <v>5</v>
      </c>
      <c r="H43">
        <f t="shared" si="70"/>
        <v>5</v>
      </c>
      <c r="I43">
        <f t="shared" si="70"/>
        <v>5</v>
      </c>
      <c r="J43">
        <f t="shared" si="70"/>
        <v>5</v>
      </c>
      <c r="K43">
        <f t="shared" si="70"/>
        <v>5</v>
      </c>
      <c r="L43">
        <f t="shared" si="70"/>
        <v>5</v>
      </c>
      <c r="N43" s="8" t="s">
        <v>1</v>
      </c>
      <c r="O43" s="2">
        <v>1</v>
      </c>
      <c r="P43" s="4">
        <f t="shared" ref="P43" si="71">1/9*C43</f>
        <v>0.55555555555555558</v>
      </c>
      <c r="Q43" s="4">
        <f t="shared" si="61"/>
        <v>0.55555555555555558</v>
      </c>
      <c r="R43" s="4">
        <f t="shared" si="62"/>
        <v>0.55555555555555558</v>
      </c>
      <c r="S43" s="4">
        <f t="shared" si="63"/>
        <v>0.55555555555555558</v>
      </c>
      <c r="T43" s="4">
        <f t="shared" si="64"/>
        <v>0.55555555555555558</v>
      </c>
      <c r="U43" s="4">
        <f t="shared" si="65"/>
        <v>0.55555555555555558</v>
      </c>
      <c r="V43" s="4">
        <f t="shared" si="66"/>
        <v>0.55555555555555558</v>
      </c>
      <c r="W43" s="4">
        <f t="shared" si="67"/>
        <v>0.55555555555555558</v>
      </c>
      <c r="X43" s="4">
        <f t="shared" si="68"/>
        <v>0.55555555555555558</v>
      </c>
      <c r="Y43" s="4">
        <f t="shared" si="69"/>
        <v>0.55555555555555558</v>
      </c>
      <c r="AA43" s="5" cm="1">
        <f t="array" ref="AA43">+SUM(P42:Y42*P43:Y43)</f>
        <v>3.0864197530864201</v>
      </c>
      <c r="AB43" s="7">
        <f>+AA43/COUNTIF(P43:Y43,"&gt;0")</f>
        <v>0.30864197530864201</v>
      </c>
    </row>
    <row r="46" spans="1:28" x14ac:dyDescent="0.35">
      <c r="A46" t="s">
        <v>16</v>
      </c>
      <c r="N46" t="s">
        <v>7</v>
      </c>
    </row>
    <row r="47" spans="1:28" x14ac:dyDescent="0.35">
      <c r="A47" t="s">
        <v>0</v>
      </c>
      <c r="C47">
        <v>1</v>
      </c>
      <c r="D47">
        <v>2</v>
      </c>
      <c r="E47">
        <v>3</v>
      </c>
      <c r="F47">
        <v>4</v>
      </c>
      <c r="G47">
        <v>5</v>
      </c>
      <c r="H47">
        <v>6</v>
      </c>
      <c r="I47">
        <v>7</v>
      </c>
      <c r="J47">
        <v>8</v>
      </c>
      <c r="K47">
        <v>9</v>
      </c>
      <c r="L47">
        <v>10</v>
      </c>
      <c r="N47" t="s">
        <v>0</v>
      </c>
      <c r="P47">
        <v>1</v>
      </c>
      <c r="Q47">
        <v>2</v>
      </c>
      <c r="R47">
        <v>3</v>
      </c>
      <c r="S47">
        <v>4</v>
      </c>
      <c r="T47">
        <v>5</v>
      </c>
      <c r="U47">
        <v>6</v>
      </c>
      <c r="V47">
        <v>7</v>
      </c>
      <c r="W47">
        <v>8</v>
      </c>
      <c r="X47">
        <v>9</v>
      </c>
      <c r="Y47">
        <v>10</v>
      </c>
    </row>
    <row r="48" spans="1:28" x14ac:dyDescent="0.35">
      <c r="B48" t="s">
        <v>2</v>
      </c>
      <c r="C48" s="2">
        <v>6</v>
      </c>
      <c r="D48" s="2">
        <f>C48</f>
        <v>6</v>
      </c>
      <c r="E48" s="2">
        <f t="shared" ref="E48:L48" si="72">D48</f>
        <v>6</v>
      </c>
      <c r="F48" s="2">
        <f t="shared" si="72"/>
        <v>6</v>
      </c>
      <c r="G48" s="2">
        <f t="shared" si="72"/>
        <v>6</v>
      </c>
      <c r="H48" s="2">
        <f t="shared" si="72"/>
        <v>6</v>
      </c>
      <c r="I48" s="2">
        <f t="shared" si="72"/>
        <v>6</v>
      </c>
      <c r="J48" s="2">
        <f t="shared" si="72"/>
        <v>6</v>
      </c>
      <c r="K48" s="2">
        <f t="shared" si="72"/>
        <v>6</v>
      </c>
      <c r="L48" s="2">
        <f t="shared" si="72"/>
        <v>6</v>
      </c>
      <c r="O48" t="s">
        <v>2</v>
      </c>
      <c r="P48" s="3">
        <f>1/9*C48</f>
        <v>0.66666666666666663</v>
      </c>
      <c r="Q48" s="3">
        <f t="shared" ref="Q48:Q49" si="73">1/9*D48</f>
        <v>0.66666666666666663</v>
      </c>
      <c r="R48" s="3">
        <f t="shared" ref="R48:R49" si="74">1/9*E48</f>
        <v>0.66666666666666663</v>
      </c>
      <c r="S48" s="3">
        <f t="shared" ref="S48:S49" si="75">1/9*F48</f>
        <v>0.66666666666666663</v>
      </c>
      <c r="T48" s="3">
        <f t="shared" ref="T48:T49" si="76">1/9*G48</f>
        <v>0.66666666666666663</v>
      </c>
      <c r="U48" s="3">
        <f t="shared" ref="U48:U49" si="77">1/9*H48</f>
        <v>0.66666666666666663</v>
      </c>
      <c r="V48" s="3">
        <f t="shared" ref="V48:V49" si="78">1/9*I48</f>
        <v>0.66666666666666663</v>
      </c>
      <c r="W48" s="3">
        <f t="shared" ref="W48:W49" si="79">1/9*J48</f>
        <v>0.66666666666666663</v>
      </c>
      <c r="X48" s="3">
        <f t="shared" ref="X48:X49" si="80">1/9*K48</f>
        <v>0.66666666666666663</v>
      </c>
      <c r="Y48" s="3">
        <f t="shared" ref="Y48:Y49" si="81">1/9*L48</f>
        <v>0.66666666666666663</v>
      </c>
      <c r="AB48" t="s">
        <v>6</v>
      </c>
    </row>
    <row r="49" spans="1:28" x14ac:dyDescent="0.35">
      <c r="A49" s="8" t="s">
        <v>1</v>
      </c>
      <c r="B49" s="2">
        <v>1</v>
      </c>
      <c r="C49">
        <v>6</v>
      </c>
      <c r="D49">
        <f>C49</f>
        <v>6</v>
      </c>
      <c r="E49">
        <f t="shared" ref="E49:L49" si="82">D49</f>
        <v>6</v>
      </c>
      <c r="F49">
        <f t="shared" si="82"/>
        <v>6</v>
      </c>
      <c r="G49">
        <f t="shared" si="82"/>
        <v>6</v>
      </c>
      <c r="H49">
        <f t="shared" si="82"/>
        <v>6</v>
      </c>
      <c r="I49">
        <f t="shared" si="82"/>
        <v>6</v>
      </c>
      <c r="J49">
        <f t="shared" si="82"/>
        <v>6</v>
      </c>
      <c r="K49">
        <f t="shared" si="82"/>
        <v>6</v>
      </c>
      <c r="L49">
        <f t="shared" si="82"/>
        <v>6</v>
      </c>
      <c r="N49" s="8" t="s">
        <v>1</v>
      </c>
      <c r="O49" s="2">
        <v>1</v>
      </c>
      <c r="P49" s="4">
        <f t="shared" ref="P49" si="83">1/9*C49</f>
        <v>0.66666666666666663</v>
      </c>
      <c r="Q49" s="4">
        <f t="shared" si="73"/>
        <v>0.66666666666666663</v>
      </c>
      <c r="R49" s="4">
        <f t="shared" si="74"/>
        <v>0.66666666666666663</v>
      </c>
      <c r="S49" s="4">
        <f t="shared" si="75"/>
        <v>0.66666666666666663</v>
      </c>
      <c r="T49" s="4">
        <f t="shared" si="76"/>
        <v>0.66666666666666663</v>
      </c>
      <c r="U49" s="4">
        <f t="shared" si="77"/>
        <v>0.66666666666666663</v>
      </c>
      <c r="V49" s="4">
        <f t="shared" si="78"/>
        <v>0.66666666666666663</v>
      </c>
      <c r="W49" s="4">
        <f t="shared" si="79"/>
        <v>0.66666666666666663</v>
      </c>
      <c r="X49" s="4">
        <f t="shared" si="80"/>
        <v>0.66666666666666663</v>
      </c>
      <c r="Y49" s="4">
        <f t="shared" si="81"/>
        <v>0.66666666666666663</v>
      </c>
      <c r="AA49" s="5" cm="1">
        <f t="array" ref="AA49">+SUM(P48:Y48*P49:Y49)</f>
        <v>4.4444444444444455</v>
      </c>
      <c r="AB49" s="7">
        <f>+AA49/COUNTIF(P49:Y49,"&gt;0")</f>
        <v>0.44444444444444453</v>
      </c>
    </row>
    <row r="52" spans="1:28" x14ac:dyDescent="0.35">
      <c r="A52" t="s">
        <v>17</v>
      </c>
      <c r="N52" t="s">
        <v>7</v>
      </c>
    </row>
    <row r="53" spans="1:28" x14ac:dyDescent="0.35">
      <c r="A53" t="s">
        <v>0</v>
      </c>
      <c r="C53">
        <v>1</v>
      </c>
      <c r="D53">
        <v>2</v>
      </c>
      <c r="E53">
        <v>3</v>
      </c>
      <c r="F53">
        <v>4</v>
      </c>
      <c r="G53">
        <v>5</v>
      </c>
      <c r="H53">
        <v>6</v>
      </c>
      <c r="I53">
        <v>7</v>
      </c>
      <c r="J53">
        <v>8</v>
      </c>
      <c r="K53">
        <v>9</v>
      </c>
      <c r="L53">
        <v>10</v>
      </c>
      <c r="N53" t="s">
        <v>0</v>
      </c>
      <c r="P53">
        <v>1</v>
      </c>
      <c r="Q53">
        <v>2</v>
      </c>
      <c r="R53">
        <v>3</v>
      </c>
      <c r="S53">
        <v>4</v>
      </c>
      <c r="T53">
        <v>5</v>
      </c>
      <c r="U53">
        <v>6</v>
      </c>
      <c r="V53">
        <v>7</v>
      </c>
      <c r="W53">
        <v>8</v>
      </c>
      <c r="X53">
        <v>9</v>
      </c>
      <c r="Y53">
        <v>10</v>
      </c>
    </row>
    <row r="54" spans="1:28" x14ac:dyDescent="0.35">
      <c r="B54" t="s">
        <v>2</v>
      </c>
      <c r="C54" s="2">
        <v>7</v>
      </c>
      <c r="D54" s="2">
        <f>C54</f>
        <v>7</v>
      </c>
      <c r="E54" s="2">
        <f t="shared" ref="E54:L54" si="84">D54</f>
        <v>7</v>
      </c>
      <c r="F54" s="2">
        <f t="shared" si="84"/>
        <v>7</v>
      </c>
      <c r="G54" s="2">
        <f t="shared" si="84"/>
        <v>7</v>
      </c>
      <c r="H54" s="2">
        <f t="shared" si="84"/>
        <v>7</v>
      </c>
      <c r="I54" s="2">
        <f t="shared" si="84"/>
        <v>7</v>
      </c>
      <c r="J54" s="2">
        <f t="shared" si="84"/>
        <v>7</v>
      </c>
      <c r="K54" s="2">
        <f t="shared" si="84"/>
        <v>7</v>
      </c>
      <c r="L54" s="2">
        <f t="shared" si="84"/>
        <v>7</v>
      </c>
      <c r="O54" t="s">
        <v>2</v>
      </c>
      <c r="P54" s="3">
        <f>1/9*C54</f>
        <v>0.77777777777777768</v>
      </c>
      <c r="Q54" s="3">
        <f t="shared" ref="Q54:Q55" si="85">1/9*D54</f>
        <v>0.77777777777777768</v>
      </c>
      <c r="R54" s="3">
        <f t="shared" ref="R54:R55" si="86">1/9*E54</f>
        <v>0.77777777777777768</v>
      </c>
      <c r="S54" s="3">
        <f t="shared" ref="S54:S55" si="87">1/9*F54</f>
        <v>0.77777777777777768</v>
      </c>
      <c r="T54" s="3">
        <f t="shared" ref="T54:T55" si="88">1/9*G54</f>
        <v>0.77777777777777768</v>
      </c>
      <c r="U54" s="3">
        <f t="shared" ref="U54:U55" si="89">1/9*H54</f>
        <v>0.77777777777777768</v>
      </c>
      <c r="V54" s="3">
        <f t="shared" ref="V54:V55" si="90">1/9*I54</f>
        <v>0.77777777777777768</v>
      </c>
      <c r="W54" s="3">
        <f t="shared" ref="W54:W55" si="91">1/9*J54</f>
        <v>0.77777777777777768</v>
      </c>
      <c r="X54" s="3">
        <f t="shared" ref="X54:X55" si="92">1/9*K54</f>
        <v>0.77777777777777768</v>
      </c>
      <c r="Y54" s="3">
        <f t="shared" ref="Y54:Y55" si="93">1/9*L54</f>
        <v>0.77777777777777768</v>
      </c>
      <c r="AB54" t="s">
        <v>6</v>
      </c>
    </row>
    <row r="55" spans="1:28" x14ac:dyDescent="0.35">
      <c r="A55" s="8" t="s">
        <v>1</v>
      </c>
      <c r="B55" s="2">
        <v>1</v>
      </c>
      <c r="C55">
        <v>7</v>
      </c>
      <c r="D55">
        <f>C55</f>
        <v>7</v>
      </c>
      <c r="E55">
        <f t="shared" ref="E55:L55" si="94">D55</f>
        <v>7</v>
      </c>
      <c r="F55">
        <f t="shared" si="94"/>
        <v>7</v>
      </c>
      <c r="G55">
        <f t="shared" si="94"/>
        <v>7</v>
      </c>
      <c r="H55">
        <f t="shared" si="94"/>
        <v>7</v>
      </c>
      <c r="I55">
        <f t="shared" si="94"/>
        <v>7</v>
      </c>
      <c r="J55">
        <f t="shared" si="94"/>
        <v>7</v>
      </c>
      <c r="K55">
        <f t="shared" si="94"/>
        <v>7</v>
      </c>
      <c r="L55">
        <f t="shared" si="94"/>
        <v>7</v>
      </c>
      <c r="N55" s="8" t="s">
        <v>1</v>
      </c>
      <c r="O55" s="2">
        <v>1</v>
      </c>
      <c r="P55" s="4">
        <f t="shared" ref="P55" si="95">1/9*C55</f>
        <v>0.77777777777777768</v>
      </c>
      <c r="Q55" s="4">
        <f t="shared" si="85"/>
        <v>0.77777777777777768</v>
      </c>
      <c r="R55" s="4">
        <f t="shared" si="86"/>
        <v>0.77777777777777768</v>
      </c>
      <c r="S55" s="4">
        <f t="shared" si="87"/>
        <v>0.77777777777777768</v>
      </c>
      <c r="T55" s="4">
        <f t="shared" si="88"/>
        <v>0.77777777777777768</v>
      </c>
      <c r="U55" s="4">
        <f t="shared" si="89"/>
        <v>0.77777777777777768</v>
      </c>
      <c r="V55" s="4">
        <f t="shared" si="90"/>
        <v>0.77777777777777768</v>
      </c>
      <c r="W55" s="4">
        <f t="shared" si="91"/>
        <v>0.77777777777777768</v>
      </c>
      <c r="X55" s="4">
        <f t="shared" si="92"/>
        <v>0.77777777777777768</v>
      </c>
      <c r="Y55" s="4">
        <f t="shared" si="93"/>
        <v>0.77777777777777768</v>
      </c>
      <c r="AA55" s="5" cm="1">
        <f t="array" ref="AA55">+SUM(P54:Y54*P55:Y55)</f>
        <v>6.049382716049382</v>
      </c>
      <c r="AB55" s="7">
        <f>+AA55/COUNTIF(P55:Y55,"&gt;0")</f>
        <v>0.60493827160493818</v>
      </c>
    </row>
    <row r="58" spans="1:28" x14ac:dyDescent="0.35">
      <c r="A58" t="s">
        <v>18</v>
      </c>
      <c r="N58" t="s">
        <v>7</v>
      </c>
    </row>
    <row r="59" spans="1:28" x14ac:dyDescent="0.35">
      <c r="A59" t="s">
        <v>0</v>
      </c>
      <c r="C59">
        <v>1</v>
      </c>
      <c r="D59">
        <v>2</v>
      </c>
      <c r="E59">
        <v>3</v>
      </c>
      <c r="F59">
        <v>4</v>
      </c>
      <c r="G59">
        <v>5</v>
      </c>
      <c r="H59">
        <v>6</v>
      </c>
      <c r="I59">
        <v>7</v>
      </c>
      <c r="J59">
        <v>8</v>
      </c>
      <c r="K59">
        <v>9</v>
      </c>
      <c r="L59">
        <v>10</v>
      </c>
      <c r="N59" t="s">
        <v>0</v>
      </c>
      <c r="P59">
        <v>1</v>
      </c>
      <c r="Q59">
        <v>2</v>
      </c>
      <c r="R59">
        <v>3</v>
      </c>
      <c r="S59">
        <v>4</v>
      </c>
      <c r="T59">
        <v>5</v>
      </c>
      <c r="U59">
        <v>6</v>
      </c>
      <c r="V59">
        <v>7</v>
      </c>
      <c r="W59">
        <v>8</v>
      </c>
      <c r="X59">
        <v>9</v>
      </c>
      <c r="Y59">
        <v>10</v>
      </c>
    </row>
    <row r="60" spans="1:28" x14ac:dyDescent="0.35">
      <c r="B60" t="s">
        <v>2</v>
      </c>
      <c r="C60" s="2">
        <v>8</v>
      </c>
      <c r="D60" s="2">
        <f>C60</f>
        <v>8</v>
      </c>
      <c r="E60" s="2">
        <f t="shared" ref="E60:L60" si="96">D60</f>
        <v>8</v>
      </c>
      <c r="F60" s="2">
        <f t="shared" si="96"/>
        <v>8</v>
      </c>
      <c r="G60" s="2">
        <f t="shared" si="96"/>
        <v>8</v>
      </c>
      <c r="H60" s="2">
        <f t="shared" si="96"/>
        <v>8</v>
      </c>
      <c r="I60" s="2">
        <f t="shared" si="96"/>
        <v>8</v>
      </c>
      <c r="J60" s="2">
        <f t="shared" si="96"/>
        <v>8</v>
      </c>
      <c r="K60" s="2">
        <f t="shared" si="96"/>
        <v>8</v>
      </c>
      <c r="L60" s="2">
        <f t="shared" si="96"/>
        <v>8</v>
      </c>
      <c r="O60" t="s">
        <v>2</v>
      </c>
      <c r="P60" s="3">
        <f>1/9*C60</f>
        <v>0.88888888888888884</v>
      </c>
      <c r="Q60" s="3">
        <f t="shared" ref="Q60:Q61" si="97">1/9*D60</f>
        <v>0.88888888888888884</v>
      </c>
      <c r="R60" s="3">
        <f t="shared" ref="R60:R61" si="98">1/9*E60</f>
        <v>0.88888888888888884</v>
      </c>
      <c r="S60" s="3">
        <f t="shared" ref="S60:S61" si="99">1/9*F60</f>
        <v>0.88888888888888884</v>
      </c>
      <c r="T60" s="3">
        <f t="shared" ref="T60:T61" si="100">1/9*G60</f>
        <v>0.88888888888888884</v>
      </c>
      <c r="U60" s="3">
        <f t="shared" ref="U60:U61" si="101">1/9*H60</f>
        <v>0.88888888888888884</v>
      </c>
      <c r="V60" s="3">
        <f t="shared" ref="V60:V61" si="102">1/9*I60</f>
        <v>0.88888888888888884</v>
      </c>
      <c r="W60" s="3">
        <f t="shared" ref="W60:W61" si="103">1/9*J60</f>
        <v>0.88888888888888884</v>
      </c>
      <c r="X60" s="3">
        <f t="shared" ref="X60:X61" si="104">1/9*K60</f>
        <v>0.88888888888888884</v>
      </c>
      <c r="Y60" s="3">
        <f t="shared" ref="Y60:Y61" si="105">1/9*L60</f>
        <v>0.88888888888888884</v>
      </c>
      <c r="AB60" t="s">
        <v>6</v>
      </c>
    </row>
    <row r="61" spans="1:28" x14ac:dyDescent="0.35">
      <c r="A61" s="8" t="s">
        <v>1</v>
      </c>
      <c r="B61" s="2">
        <v>1</v>
      </c>
      <c r="C61">
        <v>8</v>
      </c>
      <c r="D61">
        <f>C61</f>
        <v>8</v>
      </c>
      <c r="E61">
        <f t="shared" ref="E61:L61" si="106">D61</f>
        <v>8</v>
      </c>
      <c r="F61">
        <f t="shared" si="106"/>
        <v>8</v>
      </c>
      <c r="G61">
        <f t="shared" si="106"/>
        <v>8</v>
      </c>
      <c r="H61">
        <f t="shared" si="106"/>
        <v>8</v>
      </c>
      <c r="I61">
        <f t="shared" si="106"/>
        <v>8</v>
      </c>
      <c r="J61">
        <f t="shared" si="106"/>
        <v>8</v>
      </c>
      <c r="K61">
        <f t="shared" si="106"/>
        <v>8</v>
      </c>
      <c r="L61">
        <f t="shared" si="106"/>
        <v>8</v>
      </c>
      <c r="N61" s="8" t="s">
        <v>1</v>
      </c>
      <c r="O61" s="2">
        <v>1</v>
      </c>
      <c r="P61" s="4">
        <f t="shared" ref="P61" si="107">1/9*C61</f>
        <v>0.88888888888888884</v>
      </c>
      <c r="Q61" s="4">
        <f t="shared" si="97"/>
        <v>0.88888888888888884</v>
      </c>
      <c r="R61" s="4">
        <f t="shared" si="98"/>
        <v>0.88888888888888884</v>
      </c>
      <c r="S61" s="4">
        <f t="shared" si="99"/>
        <v>0.88888888888888884</v>
      </c>
      <c r="T61" s="4">
        <f t="shared" si="100"/>
        <v>0.88888888888888884</v>
      </c>
      <c r="U61" s="4">
        <f t="shared" si="101"/>
        <v>0.88888888888888884</v>
      </c>
      <c r="V61" s="4">
        <f t="shared" si="102"/>
        <v>0.88888888888888884</v>
      </c>
      <c r="W61" s="4">
        <f t="shared" si="103"/>
        <v>0.88888888888888884</v>
      </c>
      <c r="X61" s="4">
        <f t="shared" si="104"/>
        <v>0.88888888888888884</v>
      </c>
      <c r="Y61" s="4">
        <f t="shared" si="105"/>
        <v>0.88888888888888884</v>
      </c>
      <c r="AA61" s="5" cm="1">
        <f t="array" ref="AA61">+SUM(P60:Y60*P61:Y61)</f>
        <v>7.9012345679012341</v>
      </c>
      <c r="AB61" s="7">
        <f>+AA61/COUNTIF(P61:Y61,"&gt;0")</f>
        <v>0.79012345679012341</v>
      </c>
    </row>
    <row r="64" spans="1:28" x14ac:dyDescent="0.35">
      <c r="A64" t="s">
        <v>19</v>
      </c>
      <c r="N64" t="s">
        <v>7</v>
      </c>
    </row>
    <row r="65" spans="1:28" x14ac:dyDescent="0.35">
      <c r="A65" t="s">
        <v>0</v>
      </c>
      <c r="C65">
        <v>1</v>
      </c>
      <c r="D65">
        <v>2</v>
      </c>
      <c r="E65">
        <v>3</v>
      </c>
      <c r="F65">
        <v>4</v>
      </c>
      <c r="G65">
        <v>5</v>
      </c>
      <c r="H65">
        <v>6</v>
      </c>
      <c r="I65">
        <v>7</v>
      </c>
      <c r="J65">
        <v>8</v>
      </c>
      <c r="K65">
        <v>9</v>
      </c>
      <c r="L65">
        <v>10</v>
      </c>
      <c r="N65" t="s">
        <v>0</v>
      </c>
      <c r="P65">
        <v>1</v>
      </c>
      <c r="Q65">
        <v>2</v>
      </c>
      <c r="R65">
        <v>3</v>
      </c>
      <c r="S65">
        <v>4</v>
      </c>
      <c r="T65">
        <v>5</v>
      </c>
      <c r="U65">
        <v>6</v>
      </c>
      <c r="V65">
        <v>7</v>
      </c>
      <c r="W65">
        <v>8</v>
      </c>
      <c r="X65">
        <v>9</v>
      </c>
      <c r="Y65">
        <v>10</v>
      </c>
    </row>
    <row r="66" spans="1:28" x14ac:dyDescent="0.35">
      <c r="B66" t="s">
        <v>2</v>
      </c>
      <c r="C66" s="2">
        <v>9</v>
      </c>
      <c r="D66" s="2">
        <f>C66</f>
        <v>9</v>
      </c>
      <c r="E66" s="2">
        <f t="shared" ref="E66:L66" si="108">D66</f>
        <v>9</v>
      </c>
      <c r="F66" s="2">
        <f t="shared" si="108"/>
        <v>9</v>
      </c>
      <c r="G66" s="2">
        <f t="shared" si="108"/>
        <v>9</v>
      </c>
      <c r="H66" s="2">
        <f t="shared" si="108"/>
        <v>9</v>
      </c>
      <c r="I66" s="2">
        <f t="shared" si="108"/>
        <v>9</v>
      </c>
      <c r="J66" s="2">
        <f t="shared" si="108"/>
        <v>9</v>
      </c>
      <c r="K66" s="2">
        <f t="shared" si="108"/>
        <v>9</v>
      </c>
      <c r="L66" s="2">
        <f t="shared" si="108"/>
        <v>9</v>
      </c>
      <c r="O66" t="s">
        <v>2</v>
      </c>
      <c r="P66" s="3">
        <f>1/9*C66</f>
        <v>1</v>
      </c>
      <c r="Q66" s="3">
        <f t="shared" ref="Q66:Q67" si="109">1/9*D66</f>
        <v>1</v>
      </c>
      <c r="R66" s="3">
        <f t="shared" ref="R66:R67" si="110">1/9*E66</f>
        <v>1</v>
      </c>
      <c r="S66" s="3">
        <f t="shared" ref="S66:S67" si="111">1/9*F66</f>
        <v>1</v>
      </c>
      <c r="T66" s="3">
        <f t="shared" ref="T66:T67" si="112">1/9*G66</f>
        <v>1</v>
      </c>
      <c r="U66" s="3">
        <f t="shared" ref="U66:U67" si="113">1/9*H66</f>
        <v>1</v>
      </c>
      <c r="V66" s="3">
        <f t="shared" ref="V66:V67" si="114">1/9*I66</f>
        <v>1</v>
      </c>
      <c r="W66" s="3">
        <f t="shared" ref="W66:W67" si="115">1/9*J66</f>
        <v>1</v>
      </c>
      <c r="X66" s="3">
        <f t="shared" ref="X66:X67" si="116">1/9*K66</f>
        <v>1</v>
      </c>
      <c r="Y66" s="3">
        <f t="shared" ref="Y66:Y67" si="117">1/9*L66</f>
        <v>1</v>
      </c>
      <c r="AB66" t="s">
        <v>6</v>
      </c>
    </row>
    <row r="67" spans="1:28" x14ac:dyDescent="0.35">
      <c r="A67" s="8" t="s">
        <v>1</v>
      </c>
      <c r="B67" s="2">
        <v>1</v>
      </c>
      <c r="C67">
        <v>9</v>
      </c>
      <c r="D67">
        <f>C67</f>
        <v>9</v>
      </c>
      <c r="E67">
        <f t="shared" ref="E67:L67" si="118">D67</f>
        <v>9</v>
      </c>
      <c r="F67">
        <f t="shared" si="118"/>
        <v>9</v>
      </c>
      <c r="G67">
        <f t="shared" si="118"/>
        <v>9</v>
      </c>
      <c r="H67">
        <f t="shared" si="118"/>
        <v>9</v>
      </c>
      <c r="I67">
        <f t="shared" si="118"/>
        <v>9</v>
      </c>
      <c r="J67">
        <f t="shared" si="118"/>
        <v>9</v>
      </c>
      <c r="K67">
        <f t="shared" si="118"/>
        <v>9</v>
      </c>
      <c r="L67">
        <f t="shared" si="118"/>
        <v>9</v>
      </c>
      <c r="N67" s="8" t="s">
        <v>1</v>
      </c>
      <c r="O67" s="2">
        <v>1</v>
      </c>
      <c r="P67" s="4">
        <f t="shared" ref="P67" si="119">1/9*C67</f>
        <v>1</v>
      </c>
      <c r="Q67" s="4">
        <f t="shared" si="109"/>
        <v>1</v>
      </c>
      <c r="R67" s="4">
        <f t="shared" si="110"/>
        <v>1</v>
      </c>
      <c r="S67" s="4">
        <f t="shared" si="111"/>
        <v>1</v>
      </c>
      <c r="T67" s="4">
        <f t="shared" si="112"/>
        <v>1</v>
      </c>
      <c r="U67" s="4">
        <f t="shared" si="113"/>
        <v>1</v>
      </c>
      <c r="V67" s="4">
        <f t="shared" si="114"/>
        <v>1</v>
      </c>
      <c r="W67" s="4">
        <f t="shared" si="115"/>
        <v>1</v>
      </c>
      <c r="X67" s="4">
        <f t="shared" si="116"/>
        <v>1</v>
      </c>
      <c r="Y67" s="4">
        <f t="shared" si="117"/>
        <v>1</v>
      </c>
      <c r="AA67" s="5" cm="1">
        <f t="array" ref="AA67">+SUM(P66:Y66*P67:Y67)</f>
        <v>10</v>
      </c>
      <c r="AB67" s="7">
        <f>+AA67/COUNTIF(P67:Y67,"&gt;0")</f>
        <v>1</v>
      </c>
    </row>
  </sheetData>
  <mergeCells count="2">
    <mergeCell ref="A4:A13"/>
    <mergeCell ref="N4:N13"/>
  </mergeCells>
  <conditionalFormatting sqref="AB4:AB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F8ABB-4CA5-47E6-ABB0-7027313DAAE9}">
  <dimension ref="B2:X15"/>
  <sheetViews>
    <sheetView workbookViewId="0">
      <selection activeCell="D5" sqref="D5"/>
    </sheetView>
  </sheetViews>
  <sheetFormatPr defaultRowHeight="14.5" x14ac:dyDescent="0.35"/>
  <cols>
    <col min="2" max="2" width="4" bestFit="1" customWidth="1"/>
    <col min="3" max="3" width="3.54296875" bestFit="1" customWidth="1"/>
    <col min="4" max="4" width="14.1796875" bestFit="1" customWidth="1"/>
    <col min="5" max="5" width="15.7265625" bestFit="1" customWidth="1"/>
    <col min="6" max="6" width="20.1796875" bestFit="1" customWidth="1"/>
    <col min="9" max="9" width="13.81640625" bestFit="1" customWidth="1"/>
    <col min="10" max="10" width="13.453125" bestFit="1" customWidth="1"/>
    <col min="11" max="11" width="13.453125" customWidth="1"/>
    <col min="12" max="12" width="2.26953125" customWidth="1"/>
    <col min="14" max="14" width="15" bestFit="1" customWidth="1"/>
  </cols>
  <sheetData>
    <row r="2" spans="2:24" x14ac:dyDescent="0.35">
      <c r="L2" s="9"/>
      <c r="N2" t="s">
        <v>0</v>
      </c>
      <c r="O2">
        <v>1</v>
      </c>
      <c r="P2">
        <v>2</v>
      </c>
      <c r="Q2">
        <v>3</v>
      </c>
      <c r="R2">
        <v>4</v>
      </c>
      <c r="S2">
        <v>5</v>
      </c>
      <c r="T2">
        <v>6</v>
      </c>
      <c r="U2">
        <v>7</v>
      </c>
      <c r="V2">
        <v>8</v>
      </c>
      <c r="W2">
        <v>9</v>
      </c>
      <c r="X2">
        <v>10</v>
      </c>
    </row>
    <row r="3" spans="2:24" x14ac:dyDescent="0.35">
      <c r="B3" t="s">
        <v>2</v>
      </c>
      <c r="C3" t="s">
        <v>1</v>
      </c>
      <c r="D3" t="s">
        <v>6</v>
      </c>
      <c r="E3" t="s">
        <v>10</v>
      </c>
      <c r="F3" t="s">
        <v>8</v>
      </c>
      <c r="G3" t="s">
        <v>9</v>
      </c>
      <c r="I3" t="s">
        <v>20</v>
      </c>
      <c r="J3" t="s">
        <v>21</v>
      </c>
      <c r="L3" s="9"/>
      <c r="N3" t="s">
        <v>5</v>
      </c>
      <c r="O3" s="6">
        <f>'SRL beregninger'!AB4</f>
        <v>0.24691358024691357</v>
      </c>
      <c r="P3" s="6">
        <f>'SRL beregninger'!AB5</f>
        <v>0.24074074074074073</v>
      </c>
      <c r="Q3" s="6">
        <f>'SRL beregninger'!AB6</f>
        <v>0.29629629629629628</v>
      </c>
      <c r="R3" s="6">
        <f>'SRL beregninger'!AB7</f>
        <v>0.30041152263374488</v>
      </c>
      <c r="S3" s="6">
        <f>'SRL beregninger'!AB8</f>
        <v>0.23456790123456792</v>
      </c>
      <c r="T3" s="6">
        <f>'SRL beregninger'!AB9</f>
        <v>0.16296296296296298</v>
      </c>
      <c r="U3" s="6">
        <f>'SRL beregninger'!AB10</f>
        <v>0.1851851851851852</v>
      </c>
      <c r="V3" s="6">
        <f>'SRL beregninger'!AB11</f>
        <v>0.12654320987654322</v>
      </c>
      <c r="W3" s="6">
        <f>'SRL beregninger'!AB12</f>
        <v>0.17592592592592593</v>
      </c>
      <c r="X3" s="6">
        <f>'SRL beregninger'!AB13</f>
        <v>0.25308641975308643</v>
      </c>
    </row>
    <row r="4" spans="2:24" x14ac:dyDescent="0.35">
      <c r="B4" s="1">
        <v>9</v>
      </c>
      <c r="C4" s="1">
        <v>9</v>
      </c>
      <c r="D4" s="6">
        <f>'SRL beregninger'!AB67</f>
        <v>1</v>
      </c>
      <c r="E4" s="6">
        <f t="shared" ref="E4:E11" si="0">+(D4+D5)/2</f>
        <v>0.89506172839506171</v>
      </c>
      <c r="F4" s="7" t="str">
        <f>TEXT(E4,"#.##0,000")&amp;" - "&amp;1</f>
        <v>0,895 - 1</v>
      </c>
      <c r="G4">
        <v>9</v>
      </c>
      <c r="I4" s="7">
        <f>'SRL beregninger'!AC15</f>
        <v>0.22226337448559672</v>
      </c>
      <c r="J4" s="1" t="str">
        <f>+IF($I$4&gt;=E4,G4,"")</f>
        <v/>
      </c>
      <c r="K4" s="1"/>
      <c r="L4" s="10"/>
      <c r="N4" t="s">
        <v>22</v>
      </c>
      <c r="O4" s="1" t="str">
        <f>+IF(O$3&gt;=$E4,$G4,"")</f>
        <v/>
      </c>
      <c r="P4" s="1" t="str">
        <f t="shared" ref="P4:X4" si="1">+IF(P$3&gt;=$E4,$G4,"")</f>
        <v/>
      </c>
      <c r="Q4" s="1" t="str">
        <f t="shared" si="1"/>
        <v/>
      </c>
      <c r="R4" s="1" t="str">
        <f t="shared" si="1"/>
        <v/>
      </c>
      <c r="S4" s="1" t="str">
        <f t="shared" si="1"/>
        <v/>
      </c>
      <c r="T4" s="1" t="str">
        <f t="shared" si="1"/>
        <v/>
      </c>
      <c r="U4" s="1" t="str">
        <f t="shared" si="1"/>
        <v/>
      </c>
      <c r="V4" s="1" t="str">
        <f t="shared" si="1"/>
        <v/>
      </c>
      <c r="W4" s="1" t="str">
        <f t="shared" si="1"/>
        <v/>
      </c>
      <c r="X4" s="1" t="str">
        <f t="shared" si="1"/>
        <v/>
      </c>
    </row>
    <row r="5" spans="2:24" x14ac:dyDescent="0.35">
      <c r="B5" s="1">
        <v>8</v>
      </c>
      <c r="C5" s="1">
        <v>8</v>
      </c>
      <c r="D5" s="6">
        <f>'SRL beregninger'!AB61</f>
        <v>0.79012345679012341</v>
      </c>
      <c r="E5" s="6">
        <f t="shared" si="0"/>
        <v>0.69753086419753085</v>
      </c>
      <c r="F5" s="7" t="str">
        <f>TEXT(E5,"#.##0,000")&amp;" - "&amp;(TEXT(E4,"#.###,000"))-0.001</f>
        <v>0,698 - 0,894</v>
      </c>
      <c r="G5">
        <v>8</v>
      </c>
      <c r="J5" s="1" t="str">
        <f>+IF($I$4&gt;=E5,IF($I$4&lt;=E4,G5,""),"")</f>
        <v/>
      </c>
      <c r="K5" s="1"/>
      <c r="L5" s="10"/>
      <c r="O5" s="1" t="str">
        <f>+IF(O$3&gt;=$E5,IF(O$3&lt;$E4,$G5,""),"")</f>
        <v/>
      </c>
      <c r="P5" s="1" t="str">
        <f t="shared" ref="P5:X5" si="2">+IF(P$3&gt;=$E5,IF(P$3&lt;$E4,$G5,""),"")</f>
        <v/>
      </c>
      <c r="Q5" s="1" t="str">
        <f t="shared" si="2"/>
        <v/>
      </c>
      <c r="R5" s="1" t="str">
        <f t="shared" si="2"/>
        <v/>
      </c>
      <c r="S5" s="1" t="str">
        <f t="shared" si="2"/>
        <v/>
      </c>
      <c r="T5" s="1" t="str">
        <f t="shared" si="2"/>
        <v/>
      </c>
      <c r="U5" s="1" t="str">
        <f t="shared" si="2"/>
        <v/>
      </c>
      <c r="V5" s="1" t="str">
        <f t="shared" si="2"/>
        <v/>
      </c>
      <c r="W5" s="1" t="str">
        <f t="shared" si="2"/>
        <v/>
      </c>
      <c r="X5" s="1" t="str">
        <f t="shared" si="2"/>
        <v/>
      </c>
    </row>
    <row r="6" spans="2:24" x14ac:dyDescent="0.35">
      <c r="B6" s="1">
        <v>7</v>
      </c>
      <c r="C6" s="1">
        <v>7</v>
      </c>
      <c r="D6" s="6">
        <f>'SRL beregninger'!AB55</f>
        <v>0.60493827160493818</v>
      </c>
      <c r="E6" s="6">
        <f t="shared" si="0"/>
        <v>0.52469135802469136</v>
      </c>
      <c r="F6" s="7" t="str">
        <f>TEXT(E6,"#.##0,000")&amp;" - "&amp;(TEXT(E5,"#.###,000"))-0.001</f>
        <v>0,525 - 0,697</v>
      </c>
      <c r="G6">
        <v>7</v>
      </c>
      <c r="J6" s="1" t="str">
        <f t="shared" ref="J6:J12" si="3">+IF($I$4&gt;=E6,IF($I$4&lt;=E5,G6,""),"")</f>
        <v/>
      </c>
      <c r="K6" s="1"/>
      <c r="L6" s="10"/>
      <c r="O6" s="1" t="str">
        <f t="shared" ref="O6:O12" si="4">+IF(O$3&gt;=$E6,IF(O$3&lt;$E5,$G6,""),"")</f>
        <v/>
      </c>
      <c r="P6" s="1" t="str">
        <f t="shared" ref="P6:P12" si="5">+IF(P$3&gt;=$E6,IF(P$3&lt;$E5,$G6,""),"")</f>
        <v/>
      </c>
      <c r="Q6" s="1" t="str">
        <f t="shared" ref="Q6:Q12" si="6">+IF(Q$3&gt;=$E6,IF(Q$3&lt;$E5,$G6,""),"")</f>
        <v/>
      </c>
      <c r="R6" s="1" t="str">
        <f t="shared" ref="R6:R12" si="7">+IF(R$3&gt;=$E6,IF(R$3&lt;$E5,$G6,""),"")</f>
        <v/>
      </c>
      <c r="S6" s="1" t="str">
        <f t="shared" ref="S6:S12" si="8">+IF(S$3&gt;=$E6,IF(S$3&lt;$E5,$G6,""),"")</f>
        <v/>
      </c>
      <c r="T6" s="1" t="str">
        <f t="shared" ref="T6:T12" si="9">+IF(T$3&gt;=$E6,IF(T$3&lt;$E5,$G6,""),"")</f>
        <v/>
      </c>
      <c r="U6" s="1" t="str">
        <f t="shared" ref="U6:U12" si="10">+IF(U$3&gt;=$E6,IF(U$3&lt;$E5,$G6,""),"")</f>
        <v/>
      </c>
      <c r="V6" s="1" t="str">
        <f t="shared" ref="V6:V12" si="11">+IF(V$3&gt;=$E6,IF(V$3&lt;$E5,$G6,""),"")</f>
        <v/>
      </c>
      <c r="W6" s="1" t="str">
        <f t="shared" ref="W6:W12" si="12">+IF(W$3&gt;=$E6,IF(W$3&lt;$E5,$G6,""),"")</f>
        <v/>
      </c>
      <c r="X6" s="1" t="str">
        <f t="shared" ref="X6:X12" si="13">+IF(X$3&gt;=$E6,IF(X$3&lt;$E5,$G6,""),"")</f>
        <v/>
      </c>
    </row>
    <row r="7" spans="2:24" x14ac:dyDescent="0.35">
      <c r="B7" s="1">
        <v>6</v>
      </c>
      <c r="C7" s="1">
        <v>6</v>
      </c>
      <c r="D7" s="6">
        <f>'SRL beregninger'!AB49</f>
        <v>0.44444444444444453</v>
      </c>
      <c r="E7" s="6">
        <f t="shared" si="0"/>
        <v>0.37654320987654327</v>
      </c>
      <c r="F7" s="7" t="str">
        <f>TEXT(E7,"#.##0,000")&amp;" - "&amp;(TEXT(E6,"#.###,000"))-0.001</f>
        <v>0,377 - 0,524</v>
      </c>
      <c r="G7">
        <v>6</v>
      </c>
      <c r="J7" s="1" t="str">
        <f t="shared" si="3"/>
        <v/>
      </c>
      <c r="K7" s="1"/>
      <c r="L7" s="10"/>
      <c r="O7" s="1" t="str">
        <f t="shared" si="4"/>
        <v/>
      </c>
      <c r="P7" s="1" t="str">
        <f t="shared" si="5"/>
        <v/>
      </c>
      <c r="Q7" s="1" t="str">
        <f t="shared" si="6"/>
        <v/>
      </c>
      <c r="R7" s="1" t="str">
        <f t="shared" si="7"/>
        <v/>
      </c>
      <c r="S7" s="1" t="str">
        <f t="shared" si="8"/>
        <v/>
      </c>
      <c r="T7" s="1" t="str">
        <f t="shared" si="9"/>
        <v/>
      </c>
      <c r="U7" s="1" t="str">
        <f t="shared" si="10"/>
        <v/>
      </c>
      <c r="V7" s="1" t="str">
        <f t="shared" si="11"/>
        <v/>
      </c>
      <c r="W7" s="1" t="str">
        <f t="shared" si="12"/>
        <v/>
      </c>
      <c r="X7" s="1" t="str">
        <f t="shared" si="13"/>
        <v/>
      </c>
    </row>
    <row r="8" spans="2:24" x14ac:dyDescent="0.35">
      <c r="B8" s="1">
        <v>5</v>
      </c>
      <c r="C8" s="1">
        <v>5</v>
      </c>
      <c r="D8" s="6">
        <f>'SRL beregninger'!AB43</f>
        <v>0.30864197530864201</v>
      </c>
      <c r="E8" s="6">
        <f t="shared" si="0"/>
        <v>0.25308641975308643</v>
      </c>
      <c r="F8" s="7" t="str">
        <f>+TEXT(E8,"#.##0,000")&amp;" -  "&amp;(TEXT(E7,"#.###,000"))-0.001</f>
        <v>0,253 -  0,376</v>
      </c>
      <c r="G8">
        <v>5</v>
      </c>
      <c r="J8" s="1" t="str">
        <f t="shared" si="3"/>
        <v/>
      </c>
      <c r="K8" s="1"/>
      <c r="L8" s="10"/>
      <c r="O8" s="1" t="str">
        <f t="shared" si="4"/>
        <v/>
      </c>
      <c r="P8" s="1" t="str">
        <f t="shared" si="5"/>
        <v/>
      </c>
      <c r="Q8" s="1">
        <f t="shared" si="6"/>
        <v>5</v>
      </c>
      <c r="R8" s="1">
        <f t="shared" si="7"/>
        <v>5</v>
      </c>
      <c r="S8" s="1" t="str">
        <f t="shared" si="8"/>
        <v/>
      </c>
      <c r="T8" s="1" t="str">
        <f t="shared" si="9"/>
        <v/>
      </c>
      <c r="U8" s="1" t="str">
        <f t="shared" si="10"/>
        <v/>
      </c>
      <c r="V8" s="1" t="str">
        <f t="shared" si="11"/>
        <v/>
      </c>
      <c r="W8" s="1" t="str">
        <f t="shared" si="12"/>
        <v/>
      </c>
      <c r="X8" s="1">
        <f t="shared" si="13"/>
        <v>5</v>
      </c>
    </row>
    <row r="9" spans="2:24" x14ac:dyDescent="0.35">
      <c r="B9" s="1">
        <v>4</v>
      </c>
      <c r="C9" s="1">
        <v>4</v>
      </c>
      <c r="D9" s="6">
        <f>'SRL beregninger'!AB37</f>
        <v>0.19753086419753085</v>
      </c>
      <c r="E9" s="6">
        <f t="shared" si="0"/>
        <v>0.15432098765432101</v>
      </c>
      <c r="F9" s="7" t="str">
        <f>TEXT(E9,"#.##0,000")&amp;" - "&amp;(TEXT(E8,"#.###,000"))-0.001</f>
        <v>0,154 - 0,252</v>
      </c>
      <c r="G9">
        <v>4</v>
      </c>
      <c r="J9" s="1">
        <f t="shared" si="3"/>
        <v>4</v>
      </c>
      <c r="K9" s="1"/>
      <c r="L9" s="10"/>
      <c r="O9" s="1">
        <f t="shared" si="4"/>
        <v>4</v>
      </c>
      <c r="P9" s="1">
        <f t="shared" si="5"/>
        <v>4</v>
      </c>
      <c r="Q9" s="1" t="str">
        <f t="shared" si="6"/>
        <v/>
      </c>
      <c r="R9" s="1" t="str">
        <f t="shared" si="7"/>
        <v/>
      </c>
      <c r="S9" s="1">
        <f t="shared" si="8"/>
        <v>4</v>
      </c>
      <c r="T9" s="1">
        <f t="shared" si="9"/>
        <v>4</v>
      </c>
      <c r="U9" s="1">
        <f t="shared" si="10"/>
        <v>4</v>
      </c>
      <c r="V9" s="1" t="str">
        <f t="shared" si="11"/>
        <v/>
      </c>
      <c r="W9" s="1">
        <f t="shared" si="12"/>
        <v>4</v>
      </c>
      <c r="X9" s="1" t="str">
        <f t="shared" si="13"/>
        <v/>
      </c>
    </row>
    <row r="10" spans="2:24" x14ac:dyDescent="0.35">
      <c r="B10" s="1">
        <v>3</v>
      </c>
      <c r="C10" s="1">
        <v>3</v>
      </c>
      <c r="D10" s="6">
        <f>'SRL beregninger'!AB31</f>
        <v>0.11111111111111113</v>
      </c>
      <c r="E10" s="6">
        <f t="shared" si="0"/>
        <v>8.0246913580246923E-2</v>
      </c>
      <c r="F10" s="7" t="str">
        <f>TEXT(E10,"#.##0,000")&amp;" -  "&amp;(TEXT(E9,"#.###,000"))-0.001</f>
        <v>0,080 -  0,153</v>
      </c>
      <c r="G10">
        <v>3</v>
      </c>
      <c r="J10" s="1" t="str">
        <f t="shared" si="3"/>
        <v/>
      </c>
      <c r="K10" s="1"/>
      <c r="L10" s="10"/>
      <c r="O10" s="1" t="str">
        <f t="shared" si="4"/>
        <v/>
      </c>
      <c r="P10" s="1" t="str">
        <f t="shared" si="5"/>
        <v/>
      </c>
      <c r="Q10" s="1" t="str">
        <f t="shared" si="6"/>
        <v/>
      </c>
      <c r="R10" s="1" t="str">
        <f t="shared" si="7"/>
        <v/>
      </c>
      <c r="S10" s="1" t="str">
        <f t="shared" si="8"/>
        <v/>
      </c>
      <c r="T10" s="1" t="str">
        <f t="shared" si="9"/>
        <v/>
      </c>
      <c r="U10" s="1" t="str">
        <f t="shared" si="10"/>
        <v/>
      </c>
      <c r="V10" s="1">
        <f t="shared" si="11"/>
        <v>3</v>
      </c>
      <c r="W10" s="1" t="str">
        <f t="shared" si="12"/>
        <v/>
      </c>
      <c r="X10" s="1" t="str">
        <f t="shared" si="13"/>
        <v/>
      </c>
    </row>
    <row r="11" spans="2:24" x14ac:dyDescent="0.35">
      <c r="B11" s="1">
        <v>2</v>
      </c>
      <c r="C11" s="1">
        <v>2</v>
      </c>
      <c r="D11" s="6">
        <f>'SRL beregninger'!AB25</f>
        <v>4.9382716049382713E-2</v>
      </c>
      <c r="E11" s="6">
        <f t="shared" si="0"/>
        <v>3.0864197530864196E-2</v>
      </c>
      <c r="F11" s="7" t="str">
        <f>+TEXT(E11,"#.##0,000")&amp;" - "&amp;(TEXT(E10,"#.###,000"))-0.001</f>
        <v>0,031 - 0,079</v>
      </c>
      <c r="G11">
        <v>2</v>
      </c>
      <c r="J11" s="1" t="str">
        <f t="shared" si="3"/>
        <v/>
      </c>
      <c r="K11" s="1"/>
      <c r="L11" s="10"/>
      <c r="O11" s="1" t="str">
        <f t="shared" si="4"/>
        <v/>
      </c>
      <c r="P11" s="1" t="str">
        <f t="shared" si="5"/>
        <v/>
      </c>
      <c r="Q11" s="1" t="str">
        <f t="shared" si="6"/>
        <v/>
      </c>
      <c r="R11" s="1" t="str">
        <f t="shared" si="7"/>
        <v/>
      </c>
      <c r="S11" s="1" t="str">
        <f t="shared" si="8"/>
        <v/>
      </c>
      <c r="T11" s="1" t="str">
        <f t="shared" si="9"/>
        <v/>
      </c>
      <c r="U11" s="1" t="str">
        <f t="shared" si="10"/>
        <v/>
      </c>
      <c r="V11" s="1" t="str">
        <f t="shared" si="11"/>
        <v/>
      </c>
      <c r="W11" s="1" t="str">
        <f t="shared" si="12"/>
        <v/>
      </c>
      <c r="X11" s="1" t="str">
        <f t="shared" si="13"/>
        <v/>
      </c>
    </row>
    <row r="12" spans="2:24" x14ac:dyDescent="0.35">
      <c r="B12" s="1">
        <v>1</v>
      </c>
      <c r="C12" s="1">
        <v>1</v>
      </c>
      <c r="D12" s="6">
        <f>'SRL beregninger'!AB19</f>
        <v>1.2345679012345678E-2</v>
      </c>
      <c r="E12">
        <v>0</v>
      </c>
      <c r="F12" s="1" t="str">
        <f>+"0,000 - "&amp;(TEXT(E11,"#.###,000"))-0.001</f>
        <v>0,000 - 0,03</v>
      </c>
      <c r="G12">
        <v>1</v>
      </c>
      <c r="J12" s="1" t="str">
        <f t="shared" si="3"/>
        <v/>
      </c>
      <c r="K12" s="1"/>
      <c r="L12" s="10"/>
      <c r="O12" s="1" t="str">
        <f t="shared" si="4"/>
        <v/>
      </c>
      <c r="P12" s="1" t="str">
        <f t="shared" si="5"/>
        <v/>
      </c>
      <c r="Q12" s="1" t="str">
        <f t="shared" si="6"/>
        <v/>
      </c>
      <c r="R12" s="1" t="str">
        <f t="shared" si="7"/>
        <v/>
      </c>
      <c r="S12" s="1" t="str">
        <f t="shared" si="8"/>
        <v/>
      </c>
      <c r="T12" s="1" t="str">
        <f t="shared" si="9"/>
        <v/>
      </c>
      <c r="U12" s="1" t="str">
        <f t="shared" si="10"/>
        <v/>
      </c>
      <c r="V12" s="1" t="str">
        <f t="shared" si="11"/>
        <v/>
      </c>
      <c r="W12" s="1" t="str">
        <f t="shared" si="12"/>
        <v/>
      </c>
      <c r="X12" s="1" t="str">
        <f t="shared" si="13"/>
        <v/>
      </c>
    </row>
    <row r="13" spans="2:24" x14ac:dyDescent="0.35">
      <c r="L13" s="9"/>
    </row>
    <row r="14" spans="2:24" x14ac:dyDescent="0.35">
      <c r="L14" s="9"/>
    </row>
    <row r="15" spans="2:24" x14ac:dyDescent="0.35">
      <c r="O15" s="1">
        <f>_xlfn.XLOOKUP(O3,$E$4:$E$12,$G$4:$G$12,,-1)</f>
        <v>4</v>
      </c>
      <c r="P15" s="1">
        <f t="shared" ref="P15:X15" si="14">_xlfn.XLOOKUP(P3,$E$4:$E$12,$G$4:$G$12,,-1)</f>
        <v>4</v>
      </c>
      <c r="Q15" s="1">
        <f t="shared" si="14"/>
        <v>5</v>
      </c>
      <c r="R15" s="1">
        <f t="shared" si="14"/>
        <v>5</v>
      </c>
      <c r="S15" s="1">
        <f t="shared" si="14"/>
        <v>4</v>
      </c>
      <c r="T15" s="1">
        <f t="shared" si="14"/>
        <v>4</v>
      </c>
      <c r="U15" s="1">
        <f t="shared" si="14"/>
        <v>4</v>
      </c>
      <c r="V15" s="1">
        <f t="shared" si="14"/>
        <v>3</v>
      </c>
      <c r="W15" s="1">
        <f t="shared" si="14"/>
        <v>4</v>
      </c>
      <c r="X15" s="1">
        <f t="shared" si="14"/>
        <v>5</v>
      </c>
    </row>
  </sheetData>
  <conditionalFormatting sqref="J9:L9">
    <cfRule type="expression" dxfId="0" priority="8">
      <formula>"hvis(g9=j9)"</formula>
    </cfRule>
  </conditionalFormatting>
  <conditionalFormatting sqref="J4:L12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O4:X12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2B44-0B6A-46BC-A430-B9D1BA7AA1E0}">
  <dimension ref="A1:N52"/>
  <sheetViews>
    <sheetView topLeftCell="A4" workbookViewId="0">
      <selection activeCell="C60" sqref="C60"/>
    </sheetView>
  </sheetViews>
  <sheetFormatPr defaultRowHeight="14.5" x14ac:dyDescent="0.35"/>
  <cols>
    <col min="1" max="1" width="16.1796875" customWidth="1"/>
    <col min="2" max="2" width="7.81640625" customWidth="1"/>
    <col min="3" max="3" width="40.81640625" bestFit="1" customWidth="1"/>
    <col min="4" max="4" width="10.54296875" customWidth="1"/>
    <col min="5" max="5" width="11.26953125" customWidth="1"/>
    <col min="6" max="6" width="8.1796875" customWidth="1"/>
    <col min="7" max="7" width="16.26953125" bestFit="1" customWidth="1"/>
    <col min="8" max="8" width="11.26953125" customWidth="1"/>
    <col min="9" max="9" width="8.1796875" customWidth="1"/>
    <col min="10" max="10" width="14.54296875" customWidth="1"/>
    <col min="11" max="11" width="9" customWidth="1"/>
    <col min="12" max="12" width="45.54296875" bestFit="1" customWidth="1"/>
    <col min="13" max="13" width="8.1796875" customWidth="1"/>
    <col min="14" max="14" width="8.81640625" customWidth="1"/>
  </cols>
  <sheetData>
    <row r="1" spans="1:14" x14ac:dyDescent="0.3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35">
      <c r="A2" t="s">
        <v>37</v>
      </c>
      <c r="B2">
        <v>5</v>
      </c>
      <c r="C2" t="s">
        <v>38</v>
      </c>
      <c r="D2" t="s">
        <v>39</v>
      </c>
      <c r="E2" t="s">
        <v>40</v>
      </c>
      <c r="F2">
        <v>3</v>
      </c>
      <c r="G2" t="s">
        <v>41</v>
      </c>
      <c r="H2" t="s">
        <v>41</v>
      </c>
      <c r="I2">
        <v>3</v>
      </c>
      <c r="J2" t="s">
        <v>42</v>
      </c>
      <c r="K2">
        <v>7</v>
      </c>
      <c r="L2" t="s">
        <v>43</v>
      </c>
      <c r="M2" t="s">
        <v>44</v>
      </c>
      <c r="N2" t="s">
        <v>45</v>
      </c>
    </row>
    <row r="3" spans="1:14" x14ac:dyDescent="0.35">
      <c r="A3" t="s">
        <v>37</v>
      </c>
      <c r="B3">
        <v>5</v>
      </c>
      <c r="C3" t="s">
        <v>38</v>
      </c>
      <c r="D3" t="s">
        <v>39</v>
      </c>
      <c r="E3" t="s">
        <v>40</v>
      </c>
      <c r="F3">
        <v>3</v>
      </c>
      <c r="G3" t="s">
        <v>124</v>
      </c>
      <c r="J3" t="s">
        <v>125</v>
      </c>
      <c r="K3">
        <v>6</v>
      </c>
      <c r="L3" t="s">
        <v>126</v>
      </c>
      <c r="M3" t="s">
        <v>127</v>
      </c>
      <c r="N3" t="s">
        <v>45</v>
      </c>
    </row>
    <row r="4" spans="1:14" x14ac:dyDescent="0.35">
      <c r="A4" t="s">
        <v>37</v>
      </c>
      <c r="B4">
        <v>5</v>
      </c>
      <c r="C4" t="s">
        <v>38</v>
      </c>
      <c r="D4" t="s">
        <v>39</v>
      </c>
      <c r="E4" t="s">
        <v>40</v>
      </c>
      <c r="F4">
        <v>4</v>
      </c>
      <c r="G4" t="s">
        <v>77</v>
      </c>
      <c r="J4" t="s">
        <v>46</v>
      </c>
      <c r="K4">
        <v>5</v>
      </c>
      <c r="L4" t="s">
        <v>47</v>
      </c>
      <c r="M4" t="s">
        <v>48</v>
      </c>
      <c r="N4" t="s">
        <v>40</v>
      </c>
    </row>
    <row r="5" spans="1:14" x14ac:dyDescent="0.35">
      <c r="A5" t="s">
        <v>37</v>
      </c>
      <c r="B5">
        <v>5</v>
      </c>
      <c r="C5" t="s">
        <v>38</v>
      </c>
      <c r="D5" t="s">
        <v>39</v>
      </c>
      <c r="E5" t="s">
        <v>40</v>
      </c>
      <c r="F5">
        <v>3</v>
      </c>
      <c r="G5" t="s">
        <v>134</v>
      </c>
      <c r="J5" t="s">
        <v>135</v>
      </c>
      <c r="K5">
        <v>6</v>
      </c>
      <c r="L5" t="s">
        <v>136</v>
      </c>
      <c r="M5" t="s">
        <v>137</v>
      </c>
      <c r="N5" t="s">
        <v>45</v>
      </c>
    </row>
    <row r="6" spans="1:14" x14ac:dyDescent="0.35">
      <c r="A6" t="s">
        <v>37</v>
      </c>
      <c r="B6">
        <v>5</v>
      </c>
      <c r="C6" t="s">
        <v>38</v>
      </c>
      <c r="D6" t="s">
        <v>39</v>
      </c>
      <c r="E6" t="s">
        <v>40</v>
      </c>
      <c r="F6">
        <v>3</v>
      </c>
      <c r="G6" t="s">
        <v>138</v>
      </c>
      <c r="J6" t="s">
        <v>135</v>
      </c>
      <c r="K6">
        <v>6</v>
      </c>
      <c r="L6" t="s">
        <v>136</v>
      </c>
      <c r="M6" t="s">
        <v>137</v>
      </c>
      <c r="N6" t="s">
        <v>45</v>
      </c>
    </row>
    <row r="7" spans="1:14" x14ac:dyDescent="0.35">
      <c r="A7" t="s">
        <v>37</v>
      </c>
      <c r="B7">
        <v>5</v>
      </c>
      <c r="C7" t="s">
        <v>38</v>
      </c>
      <c r="D7" t="s">
        <v>39</v>
      </c>
      <c r="E7" t="s">
        <v>40</v>
      </c>
      <c r="F7">
        <v>3</v>
      </c>
      <c r="G7" t="s">
        <v>124</v>
      </c>
      <c r="J7" t="s">
        <v>139</v>
      </c>
      <c r="K7">
        <v>6</v>
      </c>
      <c r="L7" t="s">
        <v>140</v>
      </c>
      <c r="M7" t="s">
        <v>137</v>
      </c>
      <c r="N7" t="s">
        <v>45</v>
      </c>
    </row>
    <row r="8" spans="1:14" x14ac:dyDescent="0.35">
      <c r="A8" t="s">
        <v>37</v>
      </c>
      <c r="B8">
        <v>5</v>
      </c>
      <c r="C8" t="s">
        <v>38</v>
      </c>
      <c r="D8" t="s">
        <v>39</v>
      </c>
      <c r="E8" t="s">
        <v>40</v>
      </c>
      <c r="F8">
        <v>4</v>
      </c>
      <c r="G8" t="s">
        <v>124</v>
      </c>
      <c r="J8" t="s">
        <v>141</v>
      </c>
      <c r="K8">
        <v>6</v>
      </c>
      <c r="L8" t="s">
        <v>140</v>
      </c>
      <c r="M8" t="s">
        <v>137</v>
      </c>
      <c r="N8" t="s">
        <v>45</v>
      </c>
    </row>
    <row r="9" spans="1:14" x14ac:dyDescent="0.35">
      <c r="A9" t="s">
        <v>37</v>
      </c>
      <c r="B9">
        <v>5</v>
      </c>
      <c r="C9" t="s">
        <v>38</v>
      </c>
      <c r="D9" t="s">
        <v>39</v>
      </c>
      <c r="E9" t="s">
        <v>40</v>
      </c>
      <c r="F9">
        <v>4</v>
      </c>
      <c r="G9" t="s">
        <v>142</v>
      </c>
      <c r="J9" t="s">
        <v>143</v>
      </c>
      <c r="K9">
        <v>6</v>
      </c>
      <c r="L9" t="s">
        <v>144</v>
      </c>
      <c r="M9" t="s">
        <v>39</v>
      </c>
      <c r="N9" t="s">
        <v>40</v>
      </c>
    </row>
    <row r="10" spans="1:14" x14ac:dyDescent="0.35">
      <c r="A10" t="s">
        <v>118</v>
      </c>
      <c r="B10">
        <v>6</v>
      </c>
      <c r="C10" t="s">
        <v>107</v>
      </c>
      <c r="D10" t="s">
        <v>83</v>
      </c>
      <c r="E10" t="s">
        <v>45</v>
      </c>
      <c r="F10">
        <v>3</v>
      </c>
      <c r="G10" t="s">
        <v>108</v>
      </c>
      <c r="H10" t="s">
        <v>108</v>
      </c>
      <c r="I10">
        <v>3</v>
      </c>
      <c r="J10" t="s">
        <v>119</v>
      </c>
      <c r="K10">
        <v>6</v>
      </c>
      <c r="L10" t="s">
        <v>90</v>
      </c>
      <c r="M10" t="s">
        <v>94</v>
      </c>
      <c r="N10" t="s">
        <v>45</v>
      </c>
    </row>
    <row r="11" spans="1:14" x14ac:dyDescent="0.35">
      <c r="A11" t="s">
        <v>120</v>
      </c>
      <c r="B11">
        <v>6</v>
      </c>
      <c r="C11" t="s">
        <v>121</v>
      </c>
      <c r="D11" t="s">
        <v>83</v>
      </c>
      <c r="E11" t="s">
        <v>45</v>
      </c>
      <c r="F11">
        <v>3</v>
      </c>
      <c r="G11" t="s">
        <v>84</v>
      </c>
      <c r="H11" t="s">
        <v>84</v>
      </c>
      <c r="I11">
        <v>3</v>
      </c>
      <c r="J11" t="s">
        <v>119</v>
      </c>
      <c r="K11">
        <v>6</v>
      </c>
      <c r="L11" t="s">
        <v>90</v>
      </c>
      <c r="M11" t="s">
        <v>94</v>
      </c>
      <c r="N11" t="s">
        <v>45</v>
      </c>
    </row>
    <row r="12" spans="1:14" x14ac:dyDescent="0.35">
      <c r="A12" t="s">
        <v>120</v>
      </c>
      <c r="B12">
        <v>6</v>
      </c>
      <c r="C12" t="s">
        <v>121</v>
      </c>
      <c r="D12" t="s">
        <v>83</v>
      </c>
      <c r="E12" t="s">
        <v>45</v>
      </c>
      <c r="F12">
        <v>4</v>
      </c>
      <c r="G12" t="s">
        <v>147</v>
      </c>
      <c r="H12" t="s">
        <v>147</v>
      </c>
      <c r="I12">
        <v>4</v>
      </c>
      <c r="J12" t="s">
        <v>117</v>
      </c>
      <c r="K12">
        <v>5</v>
      </c>
      <c r="L12" t="s">
        <v>110</v>
      </c>
      <c r="M12" t="s">
        <v>83</v>
      </c>
      <c r="N12" t="s">
        <v>45</v>
      </c>
    </row>
    <row r="13" spans="1:14" x14ac:dyDescent="0.35">
      <c r="A13" t="s">
        <v>148</v>
      </c>
      <c r="B13">
        <v>6</v>
      </c>
      <c r="C13" t="s">
        <v>82</v>
      </c>
      <c r="D13" t="s">
        <v>83</v>
      </c>
      <c r="E13" t="s">
        <v>45</v>
      </c>
      <c r="F13">
        <v>3</v>
      </c>
      <c r="G13" t="s">
        <v>146</v>
      </c>
      <c r="J13" t="s">
        <v>149</v>
      </c>
      <c r="K13">
        <v>6</v>
      </c>
      <c r="L13" t="s">
        <v>82</v>
      </c>
      <c r="M13" t="s">
        <v>83</v>
      </c>
      <c r="N13" t="s">
        <v>45</v>
      </c>
    </row>
    <row r="14" spans="1:14" x14ac:dyDescent="0.35">
      <c r="A14" t="s">
        <v>89</v>
      </c>
      <c r="B14">
        <v>6</v>
      </c>
      <c r="C14" t="s">
        <v>90</v>
      </c>
      <c r="D14" t="s">
        <v>91</v>
      </c>
      <c r="E14" t="s">
        <v>45</v>
      </c>
      <c r="F14">
        <v>4</v>
      </c>
      <c r="G14" t="s">
        <v>92</v>
      </c>
      <c r="J14" t="s">
        <v>93</v>
      </c>
      <c r="K14">
        <v>6</v>
      </c>
      <c r="L14" t="s">
        <v>90</v>
      </c>
      <c r="M14" t="s">
        <v>94</v>
      </c>
      <c r="N14" t="s">
        <v>45</v>
      </c>
    </row>
    <row r="15" spans="1:14" x14ac:dyDescent="0.35">
      <c r="A15" t="s">
        <v>89</v>
      </c>
      <c r="B15">
        <v>6</v>
      </c>
      <c r="C15" t="s">
        <v>90</v>
      </c>
      <c r="D15" t="s">
        <v>91</v>
      </c>
      <c r="E15" t="s">
        <v>45</v>
      </c>
      <c r="F15">
        <v>4</v>
      </c>
      <c r="G15" t="s">
        <v>92</v>
      </c>
      <c r="J15" t="s">
        <v>98</v>
      </c>
      <c r="K15">
        <v>6</v>
      </c>
      <c r="L15" t="s">
        <v>90</v>
      </c>
      <c r="M15" t="s">
        <v>94</v>
      </c>
      <c r="N15" t="s">
        <v>45</v>
      </c>
    </row>
    <row r="16" spans="1:14" x14ac:dyDescent="0.35">
      <c r="A16" t="s">
        <v>89</v>
      </c>
      <c r="B16">
        <v>6</v>
      </c>
      <c r="C16" t="s">
        <v>90</v>
      </c>
      <c r="D16" t="s">
        <v>91</v>
      </c>
      <c r="E16" t="s">
        <v>45</v>
      </c>
      <c r="F16">
        <v>4</v>
      </c>
      <c r="G16" t="s">
        <v>92</v>
      </c>
      <c r="H16" t="s">
        <v>92</v>
      </c>
      <c r="I16">
        <v>4</v>
      </c>
      <c r="J16" t="s">
        <v>113</v>
      </c>
      <c r="K16">
        <v>5</v>
      </c>
      <c r="L16" t="s">
        <v>90</v>
      </c>
      <c r="M16" t="s">
        <v>94</v>
      </c>
      <c r="N16" t="s">
        <v>45</v>
      </c>
    </row>
    <row r="17" spans="1:14" x14ac:dyDescent="0.35">
      <c r="A17" t="s">
        <v>89</v>
      </c>
      <c r="B17">
        <v>6</v>
      </c>
      <c r="C17" t="s">
        <v>90</v>
      </c>
      <c r="D17" t="s">
        <v>91</v>
      </c>
      <c r="E17" t="s">
        <v>45</v>
      </c>
      <c r="F17">
        <v>4</v>
      </c>
      <c r="G17" t="s">
        <v>92</v>
      </c>
      <c r="H17" t="s">
        <v>92</v>
      </c>
      <c r="I17">
        <v>4</v>
      </c>
      <c r="J17" t="s">
        <v>119</v>
      </c>
      <c r="K17">
        <v>6</v>
      </c>
      <c r="L17" t="s">
        <v>90</v>
      </c>
      <c r="M17" t="s">
        <v>94</v>
      </c>
      <c r="N17" t="s">
        <v>45</v>
      </c>
    </row>
    <row r="18" spans="1:14" x14ac:dyDescent="0.35">
      <c r="A18" t="s">
        <v>46</v>
      </c>
      <c r="B18">
        <v>5</v>
      </c>
      <c r="C18" t="s">
        <v>47</v>
      </c>
      <c r="D18" t="s">
        <v>48</v>
      </c>
      <c r="E18" t="s">
        <v>40</v>
      </c>
      <c r="F18">
        <v>3</v>
      </c>
      <c r="G18" t="s">
        <v>49</v>
      </c>
      <c r="J18" t="s">
        <v>42</v>
      </c>
      <c r="K18">
        <v>7</v>
      </c>
      <c r="L18" t="s">
        <v>43</v>
      </c>
      <c r="M18" t="s">
        <v>44</v>
      </c>
      <c r="N18" t="s">
        <v>45</v>
      </c>
    </row>
    <row r="19" spans="1:14" x14ac:dyDescent="0.35">
      <c r="A19" t="s">
        <v>46</v>
      </c>
      <c r="B19">
        <v>5</v>
      </c>
      <c r="C19" t="s">
        <v>47</v>
      </c>
      <c r="D19" t="s">
        <v>48</v>
      </c>
      <c r="E19" t="s">
        <v>40</v>
      </c>
      <c r="F19">
        <v>4</v>
      </c>
      <c r="G19" t="s">
        <v>66</v>
      </c>
      <c r="J19" t="s">
        <v>37</v>
      </c>
      <c r="K19">
        <v>5</v>
      </c>
      <c r="L19" t="s">
        <v>38</v>
      </c>
      <c r="M19" t="s">
        <v>39</v>
      </c>
      <c r="N19" t="s">
        <v>40</v>
      </c>
    </row>
    <row r="20" spans="1:14" x14ac:dyDescent="0.35">
      <c r="A20" t="s">
        <v>46</v>
      </c>
      <c r="B20">
        <v>5</v>
      </c>
      <c r="C20" t="s">
        <v>47</v>
      </c>
      <c r="D20" t="s">
        <v>48</v>
      </c>
      <c r="E20" t="s">
        <v>40</v>
      </c>
      <c r="F20">
        <v>3</v>
      </c>
      <c r="G20" t="s">
        <v>66</v>
      </c>
      <c r="J20" t="s">
        <v>132</v>
      </c>
      <c r="K20">
        <v>5</v>
      </c>
      <c r="L20" t="s">
        <v>133</v>
      </c>
      <c r="M20" t="s">
        <v>83</v>
      </c>
      <c r="N20" t="s">
        <v>45</v>
      </c>
    </row>
    <row r="21" spans="1:14" x14ac:dyDescent="0.35">
      <c r="A21" t="s">
        <v>42</v>
      </c>
      <c r="B21">
        <v>7</v>
      </c>
      <c r="C21" t="s">
        <v>43</v>
      </c>
      <c r="D21" t="s">
        <v>44</v>
      </c>
      <c r="E21" t="s">
        <v>45</v>
      </c>
      <c r="F21">
        <v>3</v>
      </c>
      <c r="G21" t="s">
        <v>84</v>
      </c>
      <c r="J21" t="s">
        <v>37</v>
      </c>
      <c r="K21">
        <v>5</v>
      </c>
      <c r="L21" t="s">
        <v>38</v>
      </c>
      <c r="M21" t="s">
        <v>39</v>
      </c>
      <c r="N21" t="s">
        <v>40</v>
      </c>
    </row>
    <row r="22" spans="1:14" x14ac:dyDescent="0.35">
      <c r="A22" t="s">
        <v>50</v>
      </c>
      <c r="B22">
        <v>8</v>
      </c>
      <c r="C22" t="s">
        <v>51</v>
      </c>
      <c r="D22" t="s">
        <v>52</v>
      </c>
      <c r="E22" t="s">
        <v>45</v>
      </c>
      <c r="F22">
        <v>4</v>
      </c>
      <c r="G22" t="s">
        <v>53</v>
      </c>
      <c r="J22" t="s">
        <v>42</v>
      </c>
      <c r="K22">
        <v>7</v>
      </c>
      <c r="L22" t="s">
        <v>43</v>
      </c>
      <c r="M22" t="s">
        <v>44</v>
      </c>
      <c r="N22" t="s">
        <v>45</v>
      </c>
    </row>
    <row r="23" spans="1:14" x14ac:dyDescent="0.35">
      <c r="A23" t="s">
        <v>54</v>
      </c>
      <c r="B23">
        <v>7</v>
      </c>
      <c r="C23" t="s">
        <v>55</v>
      </c>
      <c r="D23" t="s">
        <v>56</v>
      </c>
      <c r="E23" t="s">
        <v>45</v>
      </c>
      <c r="F23">
        <v>4</v>
      </c>
      <c r="G23" t="s">
        <v>57</v>
      </c>
      <c r="J23" t="s">
        <v>42</v>
      </c>
      <c r="K23">
        <v>7</v>
      </c>
      <c r="L23" t="s">
        <v>43</v>
      </c>
      <c r="M23" t="s">
        <v>44</v>
      </c>
      <c r="N23" t="s">
        <v>45</v>
      </c>
    </row>
    <row r="24" spans="1:14" x14ac:dyDescent="0.35">
      <c r="A24" t="s">
        <v>58</v>
      </c>
      <c r="B24">
        <v>8</v>
      </c>
      <c r="C24" t="s">
        <v>59</v>
      </c>
      <c r="D24" t="s">
        <v>60</v>
      </c>
      <c r="E24" t="s">
        <v>45</v>
      </c>
      <c r="F24">
        <v>3</v>
      </c>
      <c r="G24" t="s">
        <v>57</v>
      </c>
      <c r="H24" t="s">
        <v>57</v>
      </c>
      <c r="I24">
        <v>3</v>
      </c>
      <c r="J24" t="s">
        <v>42</v>
      </c>
      <c r="K24">
        <v>7</v>
      </c>
      <c r="L24" t="s">
        <v>43</v>
      </c>
      <c r="M24" t="s">
        <v>44</v>
      </c>
      <c r="N24" t="s">
        <v>45</v>
      </c>
    </row>
    <row r="25" spans="1:14" x14ac:dyDescent="0.35">
      <c r="A25" t="s">
        <v>61</v>
      </c>
      <c r="B25">
        <v>7</v>
      </c>
      <c r="C25" t="s">
        <v>62</v>
      </c>
      <c r="D25" t="s">
        <v>60</v>
      </c>
      <c r="E25" t="s">
        <v>45</v>
      </c>
      <c r="F25">
        <v>3</v>
      </c>
      <c r="G25" t="s">
        <v>57</v>
      </c>
      <c r="H25" t="s">
        <v>57</v>
      </c>
      <c r="I25">
        <v>3</v>
      </c>
      <c r="J25" t="s">
        <v>42</v>
      </c>
      <c r="K25">
        <v>7</v>
      </c>
      <c r="L25" t="s">
        <v>43</v>
      </c>
      <c r="M25" t="s">
        <v>44</v>
      </c>
      <c r="N25" t="s">
        <v>45</v>
      </c>
    </row>
    <row r="26" spans="1:14" x14ac:dyDescent="0.35">
      <c r="A26" t="s">
        <v>63</v>
      </c>
      <c r="B26">
        <v>6</v>
      </c>
      <c r="C26" t="s">
        <v>64</v>
      </c>
      <c r="D26" t="s">
        <v>65</v>
      </c>
      <c r="E26" t="s">
        <v>45</v>
      </c>
      <c r="F26">
        <v>3</v>
      </c>
      <c r="G26" t="s">
        <v>66</v>
      </c>
      <c r="H26" t="s">
        <v>67</v>
      </c>
      <c r="I26">
        <v>3</v>
      </c>
      <c r="J26" t="s">
        <v>42</v>
      </c>
      <c r="K26">
        <v>7</v>
      </c>
      <c r="L26" t="s">
        <v>43</v>
      </c>
      <c r="M26" t="s">
        <v>44</v>
      </c>
      <c r="N26" t="s">
        <v>45</v>
      </c>
    </row>
    <row r="27" spans="1:14" x14ac:dyDescent="0.35">
      <c r="A27" t="s">
        <v>106</v>
      </c>
      <c r="B27">
        <v>6</v>
      </c>
      <c r="C27" t="s">
        <v>107</v>
      </c>
      <c r="D27" t="s">
        <v>83</v>
      </c>
      <c r="E27" t="s">
        <v>45</v>
      </c>
      <c r="F27">
        <v>3</v>
      </c>
      <c r="G27" t="s">
        <v>108</v>
      </c>
      <c r="H27" t="s">
        <v>108</v>
      </c>
      <c r="I27">
        <v>3</v>
      </c>
      <c r="J27" t="s">
        <v>98</v>
      </c>
      <c r="K27">
        <v>6</v>
      </c>
      <c r="L27" t="s">
        <v>90</v>
      </c>
      <c r="M27" t="s">
        <v>94</v>
      </c>
      <c r="N27" t="s">
        <v>45</v>
      </c>
    </row>
    <row r="28" spans="1:14" x14ac:dyDescent="0.35">
      <c r="A28" t="s">
        <v>109</v>
      </c>
      <c r="B28">
        <v>6</v>
      </c>
      <c r="C28" t="s">
        <v>110</v>
      </c>
      <c r="D28" t="s">
        <v>83</v>
      </c>
      <c r="E28" t="s">
        <v>45</v>
      </c>
      <c r="F28">
        <v>4</v>
      </c>
      <c r="G28" t="s">
        <v>111</v>
      </c>
      <c r="H28" t="s">
        <v>84</v>
      </c>
      <c r="I28">
        <v>3</v>
      </c>
      <c r="J28" t="s">
        <v>98</v>
      </c>
      <c r="K28">
        <v>6</v>
      </c>
      <c r="L28" t="s">
        <v>90</v>
      </c>
      <c r="M28" t="s">
        <v>94</v>
      </c>
      <c r="N28" t="s">
        <v>45</v>
      </c>
    </row>
    <row r="29" spans="1:14" x14ac:dyDescent="0.35">
      <c r="A29" t="s">
        <v>109</v>
      </c>
      <c r="B29">
        <v>6</v>
      </c>
      <c r="C29" t="s">
        <v>110</v>
      </c>
      <c r="D29" t="s">
        <v>83</v>
      </c>
      <c r="E29" t="s">
        <v>45</v>
      </c>
      <c r="F29">
        <v>4</v>
      </c>
      <c r="G29" t="s">
        <v>147</v>
      </c>
      <c r="J29" t="s">
        <v>120</v>
      </c>
      <c r="K29">
        <v>6</v>
      </c>
      <c r="L29" t="s">
        <v>121</v>
      </c>
      <c r="M29" t="s">
        <v>83</v>
      </c>
      <c r="N29" t="s">
        <v>45</v>
      </c>
    </row>
    <row r="30" spans="1:14" x14ac:dyDescent="0.35">
      <c r="A30" t="s">
        <v>81</v>
      </c>
      <c r="B30">
        <v>6</v>
      </c>
      <c r="C30" t="s">
        <v>82</v>
      </c>
      <c r="D30" t="s">
        <v>83</v>
      </c>
      <c r="E30" t="s">
        <v>45</v>
      </c>
      <c r="F30">
        <v>4</v>
      </c>
      <c r="G30" t="s">
        <v>84</v>
      </c>
      <c r="H30" t="s">
        <v>85</v>
      </c>
      <c r="I30">
        <v>3</v>
      </c>
      <c r="J30" t="s">
        <v>42</v>
      </c>
      <c r="K30">
        <v>7</v>
      </c>
      <c r="L30" t="s">
        <v>43</v>
      </c>
      <c r="M30" t="s">
        <v>44</v>
      </c>
      <c r="N30" t="s">
        <v>45</v>
      </c>
    </row>
    <row r="31" spans="1:14" x14ac:dyDescent="0.35">
      <c r="A31" t="s">
        <v>86</v>
      </c>
      <c r="B31">
        <v>5</v>
      </c>
      <c r="C31" t="s">
        <v>87</v>
      </c>
      <c r="D31" t="s">
        <v>88</v>
      </c>
      <c r="E31" t="s">
        <v>71</v>
      </c>
      <c r="F31">
        <v>4</v>
      </c>
      <c r="G31" t="s">
        <v>67</v>
      </c>
      <c r="H31" t="s">
        <v>67</v>
      </c>
      <c r="I31">
        <v>4</v>
      </c>
      <c r="J31" t="s">
        <v>42</v>
      </c>
      <c r="K31">
        <v>7</v>
      </c>
      <c r="L31" t="s">
        <v>43</v>
      </c>
      <c r="M31" t="s">
        <v>44</v>
      </c>
      <c r="N31" t="s">
        <v>45</v>
      </c>
    </row>
    <row r="32" spans="1:14" x14ac:dyDescent="0.35">
      <c r="A32" t="s">
        <v>95</v>
      </c>
      <c r="B32">
        <v>6</v>
      </c>
      <c r="C32" t="s">
        <v>96</v>
      </c>
      <c r="D32" t="s">
        <v>70</v>
      </c>
      <c r="E32" t="s">
        <v>71</v>
      </c>
      <c r="F32">
        <v>4</v>
      </c>
      <c r="G32" t="s">
        <v>97</v>
      </c>
      <c r="J32" t="s">
        <v>98</v>
      </c>
      <c r="K32">
        <v>6</v>
      </c>
      <c r="L32" t="s">
        <v>90</v>
      </c>
      <c r="M32" t="s">
        <v>94</v>
      </c>
      <c r="N32" t="s">
        <v>45</v>
      </c>
    </row>
    <row r="33" spans="1:14" x14ac:dyDescent="0.35">
      <c r="A33" t="s">
        <v>99</v>
      </c>
      <c r="B33">
        <v>6</v>
      </c>
      <c r="C33" t="s">
        <v>100</v>
      </c>
      <c r="D33" t="s">
        <v>70</v>
      </c>
      <c r="E33" t="s">
        <v>71</v>
      </c>
      <c r="F33">
        <v>4</v>
      </c>
      <c r="G33" t="s">
        <v>97</v>
      </c>
      <c r="J33" t="s">
        <v>98</v>
      </c>
      <c r="K33">
        <v>6</v>
      </c>
      <c r="L33" t="s">
        <v>90</v>
      </c>
      <c r="M33" t="s">
        <v>94</v>
      </c>
      <c r="N33" t="s">
        <v>45</v>
      </c>
    </row>
    <row r="34" spans="1:14" x14ac:dyDescent="0.35">
      <c r="A34" t="s">
        <v>68</v>
      </c>
      <c r="B34">
        <v>6</v>
      </c>
      <c r="C34" t="s">
        <v>69</v>
      </c>
      <c r="D34" t="s">
        <v>70</v>
      </c>
      <c r="E34" t="s">
        <v>71</v>
      </c>
      <c r="F34">
        <v>4</v>
      </c>
      <c r="G34" t="s">
        <v>72</v>
      </c>
      <c r="H34" t="s">
        <v>72</v>
      </c>
      <c r="I34">
        <v>4</v>
      </c>
      <c r="J34" t="s">
        <v>42</v>
      </c>
      <c r="K34">
        <v>7</v>
      </c>
      <c r="L34" t="s">
        <v>43</v>
      </c>
      <c r="M34" t="s">
        <v>44</v>
      </c>
      <c r="N34" t="s">
        <v>45</v>
      </c>
    </row>
    <row r="35" spans="1:14" x14ac:dyDescent="0.35">
      <c r="A35" t="s">
        <v>68</v>
      </c>
      <c r="B35">
        <v>6</v>
      </c>
      <c r="C35" t="s">
        <v>69</v>
      </c>
      <c r="D35" t="s">
        <v>70</v>
      </c>
      <c r="E35" t="s">
        <v>71</v>
      </c>
      <c r="F35">
        <v>3</v>
      </c>
      <c r="G35" t="s">
        <v>72</v>
      </c>
      <c r="H35" t="s">
        <v>72</v>
      </c>
      <c r="I35">
        <v>3</v>
      </c>
      <c r="J35" t="s">
        <v>98</v>
      </c>
      <c r="K35">
        <v>6</v>
      </c>
      <c r="L35" t="s">
        <v>90</v>
      </c>
      <c r="M35" t="s">
        <v>94</v>
      </c>
      <c r="N35" t="s">
        <v>45</v>
      </c>
    </row>
    <row r="36" spans="1:14" x14ac:dyDescent="0.35">
      <c r="A36" t="s">
        <v>101</v>
      </c>
      <c r="B36">
        <v>6</v>
      </c>
      <c r="C36" t="s">
        <v>102</v>
      </c>
      <c r="D36" t="s">
        <v>80</v>
      </c>
      <c r="E36" t="s">
        <v>71</v>
      </c>
      <c r="F36">
        <v>4</v>
      </c>
      <c r="G36" t="s">
        <v>103</v>
      </c>
      <c r="H36" t="s">
        <v>104</v>
      </c>
      <c r="I36">
        <v>3</v>
      </c>
      <c r="J36" t="s">
        <v>98</v>
      </c>
      <c r="K36">
        <v>6</v>
      </c>
      <c r="L36" t="s">
        <v>90</v>
      </c>
      <c r="M36" t="s">
        <v>94</v>
      </c>
      <c r="N36" t="s">
        <v>45</v>
      </c>
    </row>
    <row r="37" spans="1:14" x14ac:dyDescent="0.35">
      <c r="A37" t="s">
        <v>150</v>
      </c>
      <c r="B37">
        <v>6</v>
      </c>
      <c r="C37" t="s">
        <v>129</v>
      </c>
      <c r="D37" t="s">
        <v>80</v>
      </c>
      <c r="E37" t="s">
        <v>71</v>
      </c>
      <c r="F37">
        <v>2</v>
      </c>
      <c r="G37" t="s">
        <v>66</v>
      </c>
      <c r="J37" t="s">
        <v>78</v>
      </c>
      <c r="K37">
        <v>6</v>
      </c>
      <c r="L37" t="s">
        <v>79</v>
      </c>
      <c r="M37" t="s">
        <v>80</v>
      </c>
      <c r="N37" t="s">
        <v>71</v>
      </c>
    </row>
    <row r="38" spans="1:14" x14ac:dyDescent="0.35">
      <c r="A38" t="s">
        <v>150</v>
      </c>
      <c r="B38">
        <v>6</v>
      </c>
      <c r="C38" t="s">
        <v>129</v>
      </c>
      <c r="D38" t="s">
        <v>80</v>
      </c>
      <c r="E38" t="s">
        <v>71</v>
      </c>
      <c r="F38">
        <v>2</v>
      </c>
      <c r="G38" t="s">
        <v>146</v>
      </c>
      <c r="J38" t="s">
        <v>78</v>
      </c>
      <c r="K38">
        <v>6</v>
      </c>
      <c r="L38" t="s">
        <v>79</v>
      </c>
      <c r="M38" t="s">
        <v>80</v>
      </c>
      <c r="N38" t="s">
        <v>71</v>
      </c>
    </row>
    <row r="39" spans="1:14" x14ac:dyDescent="0.35">
      <c r="A39" t="s">
        <v>73</v>
      </c>
      <c r="B39">
        <v>6</v>
      </c>
      <c r="C39" t="s">
        <v>74</v>
      </c>
      <c r="D39" t="s">
        <v>70</v>
      </c>
      <c r="E39" t="s">
        <v>71</v>
      </c>
      <c r="F39">
        <v>3</v>
      </c>
      <c r="G39" t="s">
        <v>67</v>
      </c>
      <c r="H39" t="s">
        <v>67</v>
      </c>
      <c r="I39">
        <v>3</v>
      </c>
      <c r="J39" t="s">
        <v>42</v>
      </c>
      <c r="K39">
        <v>7</v>
      </c>
      <c r="L39" t="s">
        <v>43</v>
      </c>
      <c r="M39" t="s">
        <v>44</v>
      </c>
      <c r="N39" t="s">
        <v>45</v>
      </c>
    </row>
    <row r="40" spans="1:14" x14ac:dyDescent="0.35">
      <c r="A40" t="s">
        <v>75</v>
      </c>
      <c r="B40">
        <v>6</v>
      </c>
      <c r="C40" t="s">
        <v>76</v>
      </c>
      <c r="D40" t="s">
        <v>70</v>
      </c>
      <c r="E40" t="s">
        <v>71</v>
      </c>
      <c r="F40">
        <v>3</v>
      </c>
      <c r="G40" t="s">
        <v>77</v>
      </c>
      <c r="H40" t="s">
        <v>77</v>
      </c>
      <c r="I40">
        <v>3</v>
      </c>
      <c r="J40" t="s">
        <v>42</v>
      </c>
      <c r="K40">
        <v>7</v>
      </c>
      <c r="L40" t="s">
        <v>43</v>
      </c>
      <c r="M40" t="s">
        <v>44</v>
      </c>
      <c r="N40" t="s">
        <v>45</v>
      </c>
    </row>
    <row r="41" spans="1:14" x14ac:dyDescent="0.35">
      <c r="A41" t="s">
        <v>78</v>
      </c>
      <c r="B41">
        <v>6</v>
      </c>
      <c r="C41" t="s">
        <v>79</v>
      </c>
      <c r="D41" t="s">
        <v>80</v>
      </c>
      <c r="E41" t="s">
        <v>71</v>
      </c>
      <c r="F41">
        <v>4</v>
      </c>
      <c r="G41" t="s">
        <v>77</v>
      </c>
      <c r="H41" t="s">
        <v>77</v>
      </c>
      <c r="I41">
        <v>4</v>
      </c>
      <c r="J41" t="s">
        <v>42</v>
      </c>
      <c r="K41">
        <v>7</v>
      </c>
      <c r="L41" t="s">
        <v>43</v>
      </c>
      <c r="M41" t="s">
        <v>44</v>
      </c>
      <c r="N41" t="s">
        <v>45</v>
      </c>
    </row>
    <row r="42" spans="1:14" x14ac:dyDescent="0.35">
      <c r="A42" t="s">
        <v>78</v>
      </c>
      <c r="B42">
        <v>6</v>
      </c>
      <c r="C42" t="s">
        <v>79</v>
      </c>
      <c r="D42" t="s">
        <v>80</v>
      </c>
      <c r="E42" t="s">
        <v>71</v>
      </c>
      <c r="F42">
        <v>4</v>
      </c>
      <c r="G42" t="s">
        <v>67</v>
      </c>
      <c r="H42" t="s">
        <v>105</v>
      </c>
      <c r="I42">
        <v>3</v>
      </c>
      <c r="J42" t="s">
        <v>98</v>
      </c>
      <c r="K42">
        <v>6</v>
      </c>
      <c r="L42" t="s">
        <v>90</v>
      </c>
      <c r="M42" t="s">
        <v>94</v>
      </c>
      <c r="N42" t="s">
        <v>45</v>
      </c>
    </row>
    <row r="43" spans="1:14" x14ac:dyDescent="0.35">
      <c r="A43" t="s">
        <v>128</v>
      </c>
      <c r="B43">
        <v>5</v>
      </c>
      <c r="C43" t="s">
        <v>129</v>
      </c>
      <c r="D43" t="s">
        <v>80</v>
      </c>
      <c r="E43" t="s">
        <v>71</v>
      </c>
      <c r="F43">
        <v>3</v>
      </c>
      <c r="G43" t="s">
        <v>124</v>
      </c>
      <c r="J43" t="s">
        <v>130</v>
      </c>
      <c r="K43">
        <v>5</v>
      </c>
      <c r="L43" t="s">
        <v>131</v>
      </c>
      <c r="M43" t="s">
        <v>127</v>
      </c>
      <c r="N43" t="s">
        <v>45</v>
      </c>
    </row>
    <row r="44" spans="1:14" x14ac:dyDescent="0.35">
      <c r="A44" t="s">
        <v>128</v>
      </c>
      <c r="B44">
        <v>5</v>
      </c>
      <c r="C44" t="s">
        <v>129</v>
      </c>
      <c r="D44" t="s">
        <v>80</v>
      </c>
      <c r="E44" t="s">
        <v>71</v>
      </c>
      <c r="F44">
        <v>2</v>
      </c>
      <c r="G44" t="s">
        <v>66</v>
      </c>
      <c r="J44" t="s">
        <v>123</v>
      </c>
      <c r="K44">
        <v>5</v>
      </c>
      <c r="L44" t="s">
        <v>79</v>
      </c>
      <c r="M44" t="s">
        <v>80</v>
      </c>
      <c r="N44" t="s">
        <v>71</v>
      </c>
    </row>
    <row r="45" spans="1:14" x14ac:dyDescent="0.35">
      <c r="A45" t="s">
        <v>112</v>
      </c>
      <c r="B45">
        <v>5</v>
      </c>
      <c r="C45" t="s">
        <v>96</v>
      </c>
      <c r="D45" t="s">
        <v>70</v>
      </c>
      <c r="E45" t="s">
        <v>71</v>
      </c>
      <c r="F45">
        <v>3</v>
      </c>
      <c r="G45" t="s">
        <v>97</v>
      </c>
      <c r="J45" t="s">
        <v>113</v>
      </c>
      <c r="K45">
        <v>5</v>
      </c>
      <c r="L45" t="s">
        <v>90</v>
      </c>
      <c r="M45" t="s">
        <v>94</v>
      </c>
      <c r="N45" t="s">
        <v>45</v>
      </c>
    </row>
    <row r="46" spans="1:14" x14ac:dyDescent="0.35">
      <c r="A46" t="s">
        <v>114</v>
      </c>
      <c r="B46">
        <v>5</v>
      </c>
      <c r="C46" t="s">
        <v>100</v>
      </c>
      <c r="D46" t="s">
        <v>70</v>
      </c>
      <c r="E46" t="s">
        <v>71</v>
      </c>
      <c r="F46">
        <v>4</v>
      </c>
      <c r="G46" t="s">
        <v>97</v>
      </c>
      <c r="J46" t="s">
        <v>113</v>
      </c>
      <c r="K46">
        <v>5</v>
      </c>
      <c r="L46" t="s">
        <v>90</v>
      </c>
      <c r="M46" t="s">
        <v>94</v>
      </c>
      <c r="N46" t="s">
        <v>45</v>
      </c>
    </row>
    <row r="47" spans="1:14" x14ac:dyDescent="0.35">
      <c r="A47" t="s">
        <v>115</v>
      </c>
      <c r="B47">
        <v>5</v>
      </c>
      <c r="C47" t="s">
        <v>69</v>
      </c>
      <c r="D47" t="s">
        <v>70</v>
      </c>
      <c r="E47" t="s">
        <v>71</v>
      </c>
      <c r="F47">
        <v>4</v>
      </c>
      <c r="G47" t="s">
        <v>72</v>
      </c>
      <c r="J47" t="s">
        <v>113</v>
      </c>
      <c r="K47">
        <v>5</v>
      </c>
      <c r="L47" t="s">
        <v>90</v>
      </c>
      <c r="M47" t="s">
        <v>94</v>
      </c>
      <c r="N47" t="s">
        <v>45</v>
      </c>
    </row>
    <row r="48" spans="1:14" x14ac:dyDescent="0.35">
      <c r="A48" t="s">
        <v>116</v>
      </c>
      <c r="B48">
        <v>5</v>
      </c>
      <c r="C48" t="s">
        <v>102</v>
      </c>
      <c r="D48" t="s">
        <v>80</v>
      </c>
      <c r="E48" t="s">
        <v>71</v>
      </c>
      <c r="F48">
        <v>4</v>
      </c>
      <c r="G48" t="s">
        <v>104</v>
      </c>
      <c r="H48" t="s">
        <v>104</v>
      </c>
      <c r="I48">
        <v>3</v>
      </c>
      <c r="J48" t="s">
        <v>113</v>
      </c>
      <c r="K48">
        <v>5</v>
      </c>
      <c r="L48" t="s">
        <v>90</v>
      </c>
      <c r="M48" t="s">
        <v>94</v>
      </c>
      <c r="N48" t="s">
        <v>45</v>
      </c>
    </row>
    <row r="49" spans="1:14" x14ac:dyDescent="0.35">
      <c r="A49" t="s">
        <v>117</v>
      </c>
      <c r="B49">
        <v>5</v>
      </c>
      <c r="C49" t="s">
        <v>110</v>
      </c>
      <c r="D49" t="s">
        <v>83</v>
      </c>
      <c r="E49" t="s">
        <v>45</v>
      </c>
      <c r="F49">
        <v>4</v>
      </c>
      <c r="G49" t="s">
        <v>111</v>
      </c>
      <c r="H49" t="s">
        <v>84</v>
      </c>
      <c r="I49">
        <v>3</v>
      </c>
      <c r="J49" t="s">
        <v>113</v>
      </c>
      <c r="K49">
        <v>5</v>
      </c>
      <c r="L49" t="s">
        <v>90</v>
      </c>
      <c r="M49" t="s">
        <v>94</v>
      </c>
      <c r="N49" t="s">
        <v>45</v>
      </c>
    </row>
    <row r="50" spans="1:14" x14ac:dyDescent="0.35">
      <c r="A50" t="s">
        <v>145</v>
      </c>
      <c r="B50">
        <v>5</v>
      </c>
      <c r="C50" t="s">
        <v>82</v>
      </c>
      <c r="D50" t="s">
        <v>83</v>
      </c>
      <c r="E50" t="s">
        <v>45</v>
      </c>
      <c r="F50">
        <v>4</v>
      </c>
      <c r="G50" t="s">
        <v>146</v>
      </c>
      <c r="J50" t="s">
        <v>81</v>
      </c>
      <c r="K50">
        <v>6</v>
      </c>
      <c r="L50" t="s">
        <v>82</v>
      </c>
      <c r="M50" t="s">
        <v>83</v>
      </c>
      <c r="N50" t="s">
        <v>45</v>
      </c>
    </row>
    <row r="51" spans="1:14" x14ac:dyDescent="0.35">
      <c r="A51" t="s">
        <v>113</v>
      </c>
      <c r="B51">
        <v>5</v>
      </c>
      <c r="C51" t="s">
        <v>90</v>
      </c>
      <c r="D51" t="s">
        <v>94</v>
      </c>
      <c r="E51" t="s">
        <v>45</v>
      </c>
      <c r="F51">
        <v>3</v>
      </c>
      <c r="G51" t="s">
        <v>108</v>
      </c>
      <c r="J51" t="s">
        <v>122</v>
      </c>
      <c r="K51">
        <v>5</v>
      </c>
      <c r="L51" t="s">
        <v>107</v>
      </c>
      <c r="M51" t="s">
        <v>83</v>
      </c>
      <c r="N51" t="s">
        <v>45</v>
      </c>
    </row>
    <row r="52" spans="1:14" x14ac:dyDescent="0.35">
      <c r="A52" t="s">
        <v>113</v>
      </c>
      <c r="B52">
        <v>5</v>
      </c>
      <c r="C52" t="s">
        <v>90</v>
      </c>
      <c r="D52" t="s">
        <v>94</v>
      </c>
      <c r="E52" t="s">
        <v>45</v>
      </c>
      <c r="F52">
        <v>3</v>
      </c>
      <c r="G52" t="s">
        <v>67</v>
      </c>
      <c r="J52" t="s">
        <v>123</v>
      </c>
      <c r="K52">
        <v>5</v>
      </c>
      <c r="L52" t="s">
        <v>79</v>
      </c>
      <c r="M52" t="s">
        <v>80</v>
      </c>
      <c r="N52" t="s">
        <v>71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2763B-42A6-4D6D-8BBE-E4570ED85C18}">
  <dimension ref="A2:AN135"/>
  <sheetViews>
    <sheetView topLeftCell="G25" zoomScale="80" zoomScaleNormal="80" workbookViewId="0">
      <selection activeCell="AK40" sqref="AK40"/>
    </sheetView>
  </sheetViews>
  <sheetFormatPr defaultRowHeight="14.5" x14ac:dyDescent="0.35"/>
  <cols>
    <col min="3" max="18" width="5.54296875" bestFit="1" customWidth="1"/>
    <col min="19" max="21" width="7.1796875" bestFit="1" customWidth="1"/>
    <col min="22" max="22" width="6.1796875" bestFit="1" customWidth="1"/>
    <col min="23" max="27" width="5.54296875" bestFit="1" customWidth="1"/>
    <col min="28" max="34" width="6.1796875" bestFit="1" customWidth="1"/>
  </cols>
  <sheetData>
    <row r="2" spans="1:34" x14ac:dyDescent="0.35">
      <c r="A2" t="s">
        <v>151</v>
      </c>
      <c r="C2" t="s">
        <v>152</v>
      </c>
      <c r="D2" t="s">
        <v>153</v>
      </c>
      <c r="E2" t="s">
        <v>154</v>
      </c>
      <c r="F2" t="s">
        <v>155</v>
      </c>
      <c r="G2" t="s">
        <v>156</v>
      </c>
      <c r="H2" t="s">
        <v>157</v>
      </c>
      <c r="I2" t="s">
        <v>158</v>
      </c>
      <c r="J2" t="s">
        <v>159</v>
      </c>
      <c r="K2" t="s">
        <v>160</v>
      </c>
      <c r="L2" t="s">
        <v>161</v>
      </c>
      <c r="M2" t="s">
        <v>162</v>
      </c>
      <c r="N2" t="s">
        <v>163</v>
      </c>
      <c r="O2" t="s">
        <v>164</v>
      </c>
      <c r="P2" t="s">
        <v>165</v>
      </c>
      <c r="Q2" t="s">
        <v>166</v>
      </c>
      <c r="R2" t="s">
        <v>167</v>
      </c>
      <c r="S2" t="s">
        <v>168</v>
      </c>
      <c r="T2" t="s">
        <v>169</v>
      </c>
      <c r="U2" t="s">
        <v>170</v>
      </c>
      <c r="V2" t="s">
        <v>171</v>
      </c>
      <c r="W2" t="s">
        <v>172</v>
      </c>
      <c r="X2" t="s">
        <v>173</v>
      </c>
      <c r="Y2" t="s">
        <v>174</v>
      </c>
      <c r="Z2" t="s">
        <v>175</v>
      </c>
      <c r="AA2" t="s">
        <v>176</v>
      </c>
      <c r="AB2" t="s">
        <v>177</v>
      </c>
      <c r="AC2" t="s">
        <v>178</v>
      </c>
      <c r="AD2" t="s">
        <v>179</v>
      </c>
      <c r="AE2" t="s">
        <v>180</v>
      </c>
      <c r="AF2" t="s">
        <v>181</v>
      </c>
      <c r="AG2" t="s">
        <v>182</v>
      </c>
      <c r="AH2" t="s">
        <v>183</v>
      </c>
    </row>
    <row r="3" spans="1:34" x14ac:dyDescent="0.35">
      <c r="B3" t="s">
        <v>2</v>
      </c>
      <c r="C3" s="11">
        <v>5</v>
      </c>
      <c r="D3" s="11">
        <v>5</v>
      </c>
      <c r="E3" s="11">
        <v>7</v>
      </c>
      <c r="F3" s="11">
        <v>8</v>
      </c>
      <c r="G3" s="11">
        <v>7</v>
      </c>
      <c r="H3" s="11">
        <v>8</v>
      </c>
      <c r="I3" s="11">
        <v>7</v>
      </c>
      <c r="J3" s="11">
        <v>6</v>
      </c>
      <c r="K3" s="11">
        <v>6</v>
      </c>
      <c r="L3" s="11">
        <v>6</v>
      </c>
      <c r="M3" s="11">
        <v>6</v>
      </c>
      <c r="N3" s="11">
        <v>6</v>
      </c>
      <c r="O3" s="11">
        <v>6</v>
      </c>
      <c r="P3" s="11">
        <v>6</v>
      </c>
      <c r="Q3" s="11">
        <v>6</v>
      </c>
      <c r="R3" s="11">
        <v>6</v>
      </c>
      <c r="S3" s="11">
        <v>6</v>
      </c>
      <c r="T3" s="11">
        <v>6</v>
      </c>
      <c r="U3" s="11">
        <v>6</v>
      </c>
      <c r="V3" s="11">
        <v>5</v>
      </c>
      <c r="W3" s="11">
        <v>5</v>
      </c>
      <c r="X3" s="11">
        <v>5</v>
      </c>
      <c r="Y3" s="11">
        <v>5</v>
      </c>
      <c r="Z3" s="11">
        <v>5</v>
      </c>
      <c r="AA3" s="11">
        <v>5</v>
      </c>
      <c r="AB3" s="11">
        <v>5</v>
      </c>
      <c r="AC3" s="11">
        <v>5</v>
      </c>
      <c r="AD3" s="11">
        <v>5</v>
      </c>
      <c r="AE3" s="11">
        <v>6</v>
      </c>
      <c r="AF3" s="11">
        <v>6</v>
      </c>
      <c r="AG3" s="11">
        <v>6</v>
      </c>
      <c r="AH3" s="11">
        <v>6</v>
      </c>
    </row>
    <row r="4" spans="1:34" x14ac:dyDescent="0.35">
      <c r="A4" s="17" t="s">
        <v>1</v>
      </c>
      <c r="B4" t="s">
        <v>152</v>
      </c>
      <c r="C4">
        <v>9</v>
      </c>
      <c r="D4">
        <v>4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 spans="1:34" x14ac:dyDescent="0.35">
      <c r="A5" s="17"/>
      <c r="B5" t="s">
        <v>153</v>
      </c>
      <c r="C5">
        <v>4</v>
      </c>
      <c r="D5">
        <v>9</v>
      </c>
      <c r="E5">
        <v>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 spans="1:34" x14ac:dyDescent="0.35">
      <c r="A6" s="17"/>
      <c r="B6" t="s">
        <v>154</v>
      </c>
      <c r="C6">
        <v>3</v>
      </c>
      <c r="D6">
        <v>0</v>
      </c>
      <c r="E6">
        <v>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  <c r="Q6">
        <v>3</v>
      </c>
      <c r="R6">
        <v>3</v>
      </c>
      <c r="S6">
        <v>0</v>
      </c>
      <c r="T6">
        <v>0</v>
      </c>
      <c r="U6">
        <v>3</v>
      </c>
      <c r="V6">
        <v>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 spans="1:34" x14ac:dyDescent="0.35">
      <c r="A7" s="17"/>
      <c r="B7" t="s">
        <v>155</v>
      </c>
      <c r="C7">
        <v>0</v>
      </c>
      <c r="D7">
        <v>0</v>
      </c>
      <c r="E7">
        <v>4</v>
      </c>
      <c r="F7">
        <v>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 x14ac:dyDescent="0.35">
      <c r="A8" s="17"/>
      <c r="B8" t="s">
        <v>156</v>
      </c>
      <c r="C8">
        <v>0</v>
      </c>
      <c r="D8">
        <v>0</v>
      </c>
      <c r="E8">
        <v>4</v>
      </c>
      <c r="F8">
        <v>0</v>
      </c>
      <c r="G8">
        <v>9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 x14ac:dyDescent="0.35">
      <c r="A9" s="17"/>
      <c r="B9" t="s">
        <v>157</v>
      </c>
      <c r="C9">
        <v>0</v>
      </c>
      <c r="D9">
        <v>0</v>
      </c>
      <c r="E9">
        <v>3</v>
      </c>
      <c r="F9">
        <v>0</v>
      </c>
      <c r="G9">
        <v>0</v>
      </c>
      <c r="H9">
        <v>9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 x14ac:dyDescent="0.35">
      <c r="A10" s="17"/>
      <c r="B10" t="s">
        <v>158</v>
      </c>
      <c r="C10">
        <v>0</v>
      </c>
      <c r="D10">
        <v>0</v>
      </c>
      <c r="E10">
        <v>3</v>
      </c>
      <c r="F10">
        <v>0</v>
      </c>
      <c r="G10">
        <v>0</v>
      </c>
      <c r="H10">
        <v>0</v>
      </c>
      <c r="I10">
        <v>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 x14ac:dyDescent="0.35">
      <c r="A11" s="17"/>
      <c r="B11" t="s">
        <v>159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 x14ac:dyDescent="0.35">
      <c r="A12" s="17"/>
      <c r="B12" t="s">
        <v>160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 x14ac:dyDescent="0.35">
      <c r="A13" s="17"/>
      <c r="B13" t="s">
        <v>161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 x14ac:dyDescent="0.35">
      <c r="A14" s="17"/>
      <c r="B14" t="s">
        <v>162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 x14ac:dyDescent="0.35">
      <c r="A15" s="17"/>
      <c r="B15" t="s">
        <v>163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9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 x14ac:dyDescent="0.35">
      <c r="A16" s="17"/>
      <c r="B16" t="s">
        <v>164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9</v>
      </c>
      <c r="P16">
        <v>0</v>
      </c>
      <c r="Q16">
        <v>0</v>
      </c>
      <c r="R16">
        <v>2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 x14ac:dyDescent="0.35">
      <c r="A17" s="17"/>
      <c r="B17" t="s">
        <v>165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 x14ac:dyDescent="0.35">
      <c r="A18" s="17"/>
      <c r="B18" t="s">
        <v>166</v>
      </c>
      <c r="C18">
        <v>0</v>
      </c>
      <c r="D18">
        <v>0</v>
      </c>
      <c r="E18">
        <v>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9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 x14ac:dyDescent="0.35">
      <c r="A19" s="17"/>
      <c r="B19" t="s">
        <v>167</v>
      </c>
      <c r="C19">
        <v>0</v>
      </c>
      <c r="D19">
        <v>0</v>
      </c>
      <c r="E19">
        <v>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9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 x14ac:dyDescent="0.35">
      <c r="A20" s="17"/>
      <c r="B20" t="s">
        <v>168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 x14ac:dyDescent="0.35">
      <c r="A21" s="17"/>
      <c r="B21" t="s">
        <v>169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4</v>
      </c>
      <c r="R21">
        <v>0</v>
      </c>
      <c r="S21">
        <v>0</v>
      </c>
      <c r="T21">
        <v>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 x14ac:dyDescent="0.35">
      <c r="A22" s="17"/>
      <c r="B22" t="s">
        <v>170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 x14ac:dyDescent="0.35">
      <c r="A23" s="17"/>
      <c r="B23" t="s">
        <v>171</v>
      </c>
      <c r="C23">
        <v>0</v>
      </c>
      <c r="D23">
        <v>0</v>
      </c>
      <c r="E23">
        <v>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9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 x14ac:dyDescent="0.35">
      <c r="A24" s="17"/>
      <c r="B24" t="s">
        <v>172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</v>
      </c>
      <c r="X24">
        <v>0</v>
      </c>
      <c r="Y24">
        <v>0</v>
      </c>
      <c r="Z24">
        <v>0</v>
      </c>
      <c r="AA24">
        <v>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 x14ac:dyDescent="0.35">
      <c r="A25" s="17"/>
      <c r="B25" t="s">
        <v>173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9</v>
      </c>
      <c r="Y25">
        <v>0</v>
      </c>
      <c r="Z25">
        <v>0</v>
      </c>
      <c r="AA25">
        <v>4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 x14ac:dyDescent="0.35">
      <c r="A26" s="17"/>
      <c r="B26" t="s">
        <v>174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9</v>
      </c>
      <c r="Z26">
        <v>0</v>
      </c>
      <c r="AA26">
        <v>4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 x14ac:dyDescent="0.35">
      <c r="A27" s="17"/>
      <c r="B27" t="s">
        <v>175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9</v>
      </c>
      <c r="AA27">
        <v>4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 x14ac:dyDescent="0.35">
      <c r="A28" s="17"/>
      <c r="B28" t="s">
        <v>176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</v>
      </c>
      <c r="AA28">
        <v>9</v>
      </c>
      <c r="AB28">
        <v>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 x14ac:dyDescent="0.35">
      <c r="A29" s="17"/>
      <c r="B29" t="s">
        <v>177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4</v>
      </c>
      <c r="AB29">
        <v>9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 x14ac:dyDescent="0.35">
      <c r="A30" s="17"/>
      <c r="B30" t="s">
        <v>178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9</v>
      </c>
      <c r="AD30">
        <v>0</v>
      </c>
      <c r="AE30">
        <v>0</v>
      </c>
      <c r="AF30">
        <v>0</v>
      </c>
      <c r="AG30">
        <v>0</v>
      </c>
      <c r="AH30">
        <v>0</v>
      </c>
    </row>
    <row r="31" spans="1:34" x14ac:dyDescent="0.35">
      <c r="A31" s="17"/>
      <c r="B31" t="s">
        <v>179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9</v>
      </c>
      <c r="AE31">
        <v>0</v>
      </c>
      <c r="AF31">
        <v>0</v>
      </c>
      <c r="AG31">
        <v>0</v>
      </c>
      <c r="AH31">
        <v>0</v>
      </c>
    </row>
    <row r="32" spans="1:34" x14ac:dyDescent="0.35">
      <c r="A32" s="17"/>
      <c r="B32" t="s">
        <v>180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9</v>
      </c>
      <c r="AF32">
        <v>0</v>
      </c>
      <c r="AG32">
        <v>0</v>
      </c>
      <c r="AH32">
        <v>0</v>
      </c>
    </row>
    <row r="33" spans="1:40" x14ac:dyDescent="0.35">
      <c r="A33" s="17"/>
      <c r="B33" t="s">
        <v>181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</v>
      </c>
      <c r="AC33">
        <v>0</v>
      </c>
      <c r="AD33">
        <v>0</v>
      </c>
      <c r="AE33">
        <v>0</v>
      </c>
      <c r="AF33">
        <v>9</v>
      </c>
      <c r="AG33">
        <v>0</v>
      </c>
      <c r="AH33">
        <v>0</v>
      </c>
    </row>
    <row r="34" spans="1:40" x14ac:dyDescent="0.35">
      <c r="A34" s="17"/>
      <c r="B34" t="s">
        <v>182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9</v>
      </c>
      <c r="AH34">
        <v>0</v>
      </c>
    </row>
    <row r="35" spans="1:40" x14ac:dyDescent="0.35">
      <c r="A35" s="17"/>
      <c r="B35" t="s">
        <v>183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4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9</v>
      </c>
    </row>
    <row r="37" spans="1:40" x14ac:dyDescent="0.35">
      <c r="AK37" t="s">
        <v>184</v>
      </c>
      <c r="AL37" t="s">
        <v>185</v>
      </c>
    </row>
    <row r="38" spans="1:40" x14ac:dyDescent="0.35">
      <c r="A38" t="s">
        <v>151</v>
      </c>
      <c r="C38" t="s">
        <v>152</v>
      </c>
      <c r="D38" t="s">
        <v>153</v>
      </c>
      <c r="E38" t="s">
        <v>154</v>
      </c>
      <c r="F38" t="s">
        <v>155</v>
      </c>
      <c r="G38" t="s">
        <v>156</v>
      </c>
      <c r="H38" t="s">
        <v>157</v>
      </c>
      <c r="I38" t="s">
        <v>158</v>
      </c>
      <c r="J38" t="s">
        <v>159</v>
      </c>
      <c r="K38" t="s">
        <v>160</v>
      </c>
      <c r="L38" t="s">
        <v>161</v>
      </c>
      <c r="M38" t="s">
        <v>162</v>
      </c>
      <c r="N38" t="s">
        <v>163</v>
      </c>
      <c r="O38" t="s">
        <v>164</v>
      </c>
      <c r="P38" t="s">
        <v>165</v>
      </c>
      <c r="Q38" t="s">
        <v>166</v>
      </c>
      <c r="R38" t="s">
        <v>167</v>
      </c>
      <c r="S38" t="s">
        <v>168</v>
      </c>
      <c r="T38" t="s">
        <v>169</v>
      </c>
      <c r="U38" t="s">
        <v>170</v>
      </c>
      <c r="V38" t="s">
        <v>171</v>
      </c>
      <c r="W38" t="s">
        <v>172</v>
      </c>
      <c r="X38" t="s">
        <v>173</v>
      </c>
      <c r="Y38" t="s">
        <v>174</v>
      </c>
      <c r="Z38" t="s">
        <v>175</v>
      </c>
      <c r="AA38" t="s">
        <v>176</v>
      </c>
      <c r="AB38" t="s">
        <v>177</v>
      </c>
      <c r="AC38" t="s">
        <v>178</v>
      </c>
      <c r="AD38" t="s">
        <v>179</v>
      </c>
      <c r="AE38" t="s">
        <v>180</v>
      </c>
      <c r="AF38" t="s">
        <v>181</v>
      </c>
      <c r="AG38" t="s">
        <v>182</v>
      </c>
      <c r="AH38" t="s">
        <v>183</v>
      </c>
      <c r="AK38" s="7">
        <f>SUM(AK40:AK71)/COUNT(AK40:AK71)</f>
        <v>0.48808605232216323</v>
      </c>
      <c r="AL38" s="15">
        <f>+_xlfn.XLOOKUP('SRL Test'!AK38,'SRL Transition Model'!$E$4:$E$12,'SRL Transition Model'!$G$4:$G$12,,-1)</f>
        <v>6</v>
      </c>
    </row>
    <row r="39" spans="1:40" x14ac:dyDescent="0.35">
      <c r="B39" t="s">
        <v>2</v>
      </c>
      <c r="C39" s="12">
        <f>1/9*C3</f>
        <v>0.55555555555555558</v>
      </c>
      <c r="D39" s="12">
        <f t="shared" ref="D39:AH47" si="0">1/9*D3</f>
        <v>0.55555555555555558</v>
      </c>
      <c r="E39" s="12">
        <f t="shared" si="0"/>
        <v>0.77777777777777768</v>
      </c>
      <c r="F39" s="12">
        <f t="shared" si="0"/>
        <v>0.88888888888888884</v>
      </c>
      <c r="G39" s="12">
        <f t="shared" si="0"/>
        <v>0.77777777777777768</v>
      </c>
      <c r="H39" s="12">
        <f t="shared" si="0"/>
        <v>0.88888888888888884</v>
      </c>
      <c r="I39" s="12">
        <f t="shared" si="0"/>
        <v>0.77777777777777768</v>
      </c>
      <c r="J39" s="12">
        <f t="shared" si="0"/>
        <v>0.66666666666666663</v>
      </c>
      <c r="K39" s="12">
        <f t="shared" si="0"/>
        <v>0.66666666666666663</v>
      </c>
      <c r="L39" s="12">
        <f t="shared" si="0"/>
        <v>0.66666666666666663</v>
      </c>
      <c r="M39" s="12">
        <f t="shared" si="0"/>
        <v>0.66666666666666663</v>
      </c>
      <c r="N39" s="12">
        <f t="shared" si="0"/>
        <v>0.66666666666666663</v>
      </c>
      <c r="O39" s="12">
        <f t="shared" si="0"/>
        <v>0.66666666666666663</v>
      </c>
      <c r="P39" s="12">
        <f t="shared" si="0"/>
        <v>0.66666666666666663</v>
      </c>
      <c r="Q39" s="12">
        <f t="shared" si="0"/>
        <v>0.66666666666666663</v>
      </c>
      <c r="R39" s="12">
        <f t="shared" si="0"/>
        <v>0.66666666666666663</v>
      </c>
      <c r="S39" s="12">
        <f t="shared" si="0"/>
        <v>0.66666666666666663</v>
      </c>
      <c r="T39" s="12">
        <f t="shared" si="0"/>
        <v>0.66666666666666663</v>
      </c>
      <c r="U39" s="12">
        <f t="shared" si="0"/>
        <v>0.66666666666666663</v>
      </c>
      <c r="V39" s="12">
        <f t="shared" si="0"/>
        <v>0.55555555555555558</v>
      </c>
      <c r="W39" s="12">
        <f t="shared" si="0"/>
        <v>0.55555555555555558</v>
      </c>
      <c r="X39" s="12">
        <f t="shared" si="0"/>
        <v>0.55555555555555558</v>
      </c>
      <c r="Y39" s="12">
        <f t="shared" si="0"/>
        <v>0.55555555555555558</v>
      </c>
      <c r="Z39" s="12">
        <f t="shared" si="0"/>
        <v>0.55555555555555558</v>
      </c>
      <c r="AA39" s="12">
        <f t="shared" si="0"/>
        <v>0.55555555555555558</v>
      </c>
      <c r="AB39" s="12">
        <f t="shared" si="0"/>
        <v>0.55555555555555558</v>
      </c>
      <c r="AC39" s="12">
        <f t="shared" si="0"/>
        <v>0.55555555555555558</v>
      </c>
      <c r="AD39" s="12">
        <f t="shared" si="0"/>
        <v>0.55555555555555558</v>
      </c>
      <c r="AE39" s="12">
        <f t="shared" si="0"/>
        <v>0.66666666666666663</v>
      </c>
      <c r="AF39" s="12">
        <f t="shared" si="0"/>
        <v>0.66666666666666663</v>
      </c>
      <c r="AG39" s="12">
        <f t="shared" si="0"/>
        <v>0.66666666666666663</v>
      </c>
      <c r="AH39" s="12">
        <f t="shared" si="0"/>
        <v>0.66666666666666663</v>
      </c>
      <c r="AL39" t="s">
        <v>185</v>
      </c>
    </row>
    <row r="40" spans="1:40" x14ac:dyDescent="0.35">
      <c r="A40" s="17" t="s">
        <v>1</v>
      </c>
      <c r="B40" t="s">
        <v>152</v>
      </c>
      <c r="C40" s="5">
        <f t="shared" ref="C40:R71" si="1">1/9*C4</f>
        <v>1</v>
      </c>
      <c r="D40" s="5">
        <f t="shared" si="1"/>
        <v>0.44444444444444442</v>
      </c>
      <c r="E40" s="5">
        <f t="shared" si="1"/>
        <v>0.33333333333333331</v>
      </c>
      <c r="F40" s="5">
        <f t="shared" si="1"/>
        <v>0</v>
      </c>
      <c r="G40" s="5">
        <f t="shared" si="1"/>
        <v>0</v>
      </c>
      <c r="H40" s="5">
        <f t="shared" si="1"/>
        <v>0</v>
      </c>
      <c r="I40" s="5">
        <f t="shared" si="1"/>
        <v>0</v>
      </c>
      <c r="J40" s="5">
        <f t="shared" si="1"/>
        <v>0</v>
      </c>
      <c r="K40" s="5">
        <f t="shared" si="1"/>
        <v>0</v>
      </c>
      <c r="L40" s="5">
        <f t="shared" si="1"/>
        <v>0</v>
      </c>
      <c r="M40" s="5">
        <f t="shared" si="1"/>
        <v>0</v>
      </c>
      <c r="N40" s="5">
        <f t="shared" si="1"/>
        <v>0</v>
      </c>
      <c r="O40" s="5">
        <f t="shared" si="1"/>
        <v>0</v>
      </c>
      <c r="P40" s="5">
        <f t="shared" si="1"/>
        <v>0</v>
      </c>
      <c r="Q40" s="5">
        <f t="shared" si="1"/>
        <v>0</v>
      </c>
      <c r="R40" s="5">
        <f t="shared" si="1"/>
        <v>0</v>
      </c>
      <c r="S40" s="5">
        <f t="shared" si="0"/>
        <v>0</v>
      </c>
      <c r="T40" s="5">
        <f t="shared" si="0"/>
        <v>0</v>
      </c>
      <c r="U40" s="5">
        <f t="shared" si="0"/>
        <v>0</v>
      </c>
      <c r="V40" s="5">
        <f t="shared" si="0"/>
        <v>0</v>
      </c>
      <c r="W40" s="5">
        <f t="shared" si="0"/>
        <v>0</v>
      </c>
      <c r="X40" s="5">
        <f t="shared" si="0"/>
        <v>0</v>
      </c>
      <c r="Y40" s="5">
        <f t="shared" si="0"/>
        <v>0</v>
      </c>
      <c r="Z40" s="5">
        <f t="shared" si="0"/>
        <v>0</v>
      </c>
      <c r="AA40" s="5">
        <f t="shared" si="0"/>
        <v>0</v>
      </c>
      <c r="AB40" s="5">
        <f t="shared" si="0"/>
        <v>0</v>
      </c>
      <c r="AC40" s="5">
        <f t="shared" si="0"/>
        <v>0</v>
      </c>
      <c r="AD40" s="5">
        <f t="shared" si="0"/>
        <v>0</v>
      </c>
      <c r="AE40" s="5">
        <f t="shared" si="0"/>
        <v>0</v>
      </c>
      <c r="AF40" s="5">
        <f t="shared" si="0"/>
        <v>0</v>
      </c>
      <c r="AG40" s="5">
        <f t="shared" si="0"/>
        <v>0</v>
      </c>
      <c r="AH40" s="5">
        <f t="shared" si="0"/>
        <v>0</v>
      </c>
      <c r="AJ40" s="5" cm="1">
        <f t="array" ref="AJ40">+SUM($C$39:$AH$39*C40:AH40)</f>
        <v>1.0617283950617282</v>
      </c>
      <c r="AK40" s="7">
        <f>+AJ40/COUNTIF(C40:AH40,"&gt;0")</f>
        <v>0.35390946502057608</v>
      </c>
      <c r="AL40" s="15">
        <f>+_xlfn.XLOOKUP('SRL Test'!AK40,'SRL Transition Model'!$E$4:$E$12,'SRL Transition Model'!$G$4:$G$12,,-1)</f>
        <v>5</v>
      </c>
    </row>
    <row r="41" spans="1:40" x14ac:dyDescent="0.35">
      <c r="A41" s="17"/>
      <c r="B41" t="s">
        <v>153</v>
      </c>
      <c r="C41" s="5">
        <f t="shared" si="1"/>
        <v>0.44444444444444442</v>
      </c>
      <c r="D41" s="5">
        <f t="shared" si="0"/>
        <v>1</v>
      </c>
      <c r="E41" s="5">
        <f t="shared" si="0"/>
        <v>0.33333333333333331</v>
      </c>
      <c r="F41" s="5">
        <f t="shared" si="0"/>
        <v>0</v>
      </c>
      <c r="G41" s="5">
        <f t="shared" si="0"/>
        <v>0</v>
      </c>
      <c r="H41" s="5">
        <f t="shared" si="0"/>
        <v>0</v>
      </c>
      <c r="I41" s="5">
        <f t="shared" si="0"/>
        <v>0</v>
      </c>
      <c r="J41" s="5">
        <f t="shared" si="0"/>
        <v>0</v>
      </c>
      <c r="K41" s="5">
        <f t="shared" si="0"/>
        <v>0</v>
      </c>
      <c r="L41" s="5">
        <f t="shared" si="0"/>
        <v>0</v>
      </c>
      <c r="M41" s="5">
        <f t="shared" si="0"/>
        <v>0</v>
      </c>
      <c r="N41" s="5">
        <f t="shared" si="0"/>
        <v>0</v>
      </c>
      <c r="O41" s="5">
        <f t="shared" si="0"/>
        <v>0</v>
      </c>
      <c r="P41" s="5">
        <f t="shared" si="0"/>
        <v>0</v>
      </c>
      <c r="Q41" s="5">
        <f t="shared" si="0"/>
        <v>0</v>
      </c>
      <c r="R41" s="5">
        <f t="shared" si="0"/>
        <v>0</v>
      </c>
      <c r="S41" s="5">
        <f t="shared" si="0"/>
        <v>0</v>
      </c>
      <c r="T41" s="5">
        <f t="shared" si="0"/>
        <v>0</v>
      </c>
      <c r="U41" s="5">
        <f t="shared" si="0"/>
        <v>0</v>
      </c>
      <c r="V41" s="5">
        <f t="shared" si="0"/>
        <v>0</v>
      </c>
      <c r="W41" s="5">
        <f t="shared" si="0"/>
        <v>0</v>
      </c>
      <c r="X41" s="5">
        <f t="shared" si="0"/>
        <v>0</v>
      </c>
      <c r="Y41" s="5">
        <f t="shared" si="0"/>
        <v>0</v>
      </c>
      <c r="Z41" s="5">
        <f t="shared" si="0"/>
        <v>0</v>
      </c>
      <c r="AA41" s="5">
        <f t="shared" si="0"/>
        <v>0</v>
      </c>
      <c r="AB41" s="5">
        <f t="shared" si="0"/>
        <v>0</v>
      </c>
      <c r="AC41" s="5">
        <f t="shared" si="0"/>
        <v>0</v>
      </c>
      <c r="AD41" s="5">
        <f t="shared" si="0"/>
        <v>0</v>
      </c>
      <c r="AE41" s="5">
        <f t="shared" si="0"/>
        <v>0</v>
      </c>
      <c r="AF41" s="5">
        <f t="shared" si="0"/>
        <v>0</v>
      </c>
      <c r="AG41" s="5">
        <f t="shared" si="0"/>
        <v>0</v>
      </c>
      <c r="AH41" s="5">
        <f t="shared" si="0"/>
        <v>0</v>
      </c>
      <c r="AJ41" s="5" cm="1">
        <f t="array" ref="AJ41">+SUM($C$39:$AH$39*C41:AH41)</f>
        <v>1.0617283950617282</v>
      </c>
      <c r="AK41" s="7">
        <f t="shared" ref="AK41:AK71" si="2">+AJ41/COUNTIF(C41:AH41,"&gt;0")</f>
        <v>0.35390946502057608</v>
      </c>
      <c r="AL41" s="15">
        <f>+_xlfn.XLOOKUP('SRL Test'!AK41,'SRL Transition Model'!$E$4:$E$12,'SRL Transition Model'!$G$4:$G$12,,-1)</f>
        <v>5</v>
      </c>
    </row>
    <row r="42" spans="1:40" x14ac:dyDescent="0.35">
      <c r="A42" s="17"/>
      <c r="B42" t="s">
        <v>154</v>
      </c>
      <c r="C42" s="5">
        <f t="shared" si="1"/>
        <v>0.33333333333333331</v>
      </c>
      <c r="D42" s="5">
        <f t="shared" si="0"/>
        <v>0</v>
      </c>
      <c r="E42" s="5">
        <f t="shared" si="0"/>
        <v>1</v>
      </c>
      <c r="F42" s="5">
        <f t="shared" si="0"/>
        <v>0</v>
      </c>
      <c r="G42" s="5">
        <f t="shared" si="0"/>
        <v>0</v>
      </c>
      <c r="H42" s="5">
        <f t="shared" si="0"/>
        <v>0</v>
      </c>
      <c r="I42" s="5">
        <f t="shared" si="0"/>
        <v>0</v>
      </c>
      <c r="J42" s="5">
        <f t="shared" si="0"/>
        <v>0</v>
      </c>
      <c r="K42" s="5">
        <f t="shared" si="0"/>
        <v>0</v>
      </c>
      <c r="L42" s="5">
        <f t="shared" si="0"/>
        <v>0</v>
      </c>
      <c r="M42" s="5">
        <f t="shared" si="0"/>
        <v>0</v>
      </c>
      <c r="N42" s="5">
        <f t="shared" si="0"/>
        <v>0</v>
      </c>
      <c r="O42" s="5">
        <f t="shared" si="0"/>
        <v>0</v>
      </c>
      <c r="P42" s="5">
        <f t="shared" si="0"/>
        <v>0.33333333333333331</v>
      </c>
      <c r="Q42" s="5">
        <f t="shared" si="0"/>
        <v>0.33333333333333331</v>
      </c>
      <c r="R42" s="5">
        <f t="shared" si="0"/>
        <v>0.33333333333333331</v>
      </c>
      <c r="S42" s="5">
        <f t="shared" si="0"/>
        <v>0</v>
      </c>
      <c r="T42" s="5">
        <f t="shared" si="0"/>
        <v>0</v>
      </c>
      <c r="U42" s="5">
        <f t="shared" si="0"/>
        <v>0.33333333333333331</v>
      </c>
      <c r="V42" s="5">
        <f t="shared" si="0"/>
        <v>0.44444444444444442</v>
      </c>
      <c r="W42" s="5">
        <f t="shared" si="0"/>
        <v>0</v>
      </c>
      <c r="X42" s="5">
        <f t="shared" si="0"/>
        <v>0</v>
      </c>
      <c r="Y42" s="5">
        <f t="shared" si="0"/>
        <v>0</v>
      </c>
      <c r="Z42" s="5">
        <f t="shared" si="0"/>
        <v>0</v>
      </c>
      <c r="AA42" s="5">
        <f t="shared" si="0"/>
        <v>0</v>
      </c>
      <c r="AB42" s="5">
        <f t="shared" si="0"/>
        <v>0</v>
      </c>
      <c r="AC42" s="5">
        <f t="shared" si="0"/>
        <v>0</v>
      </c>
      <c r="AD42" s="5">
        <f t="shared" si="0"/>
        <v>0</v>
      </c>
      <c r="AE42" s="5">
        <f t="shared" si="0"/>
        <v>0</v>
      </c>
      <c r="AF42" s="5">
        <f t="shared" si="0"/>
        <v>0</v>
      </c>
      <c r="AG42" s="5">
        <f t="shared" si="0"/>
        <v>0</v>
      </c>
      <c r="AH42" s="5">
        <f t="shared" si="0"/>
        <v>0</v>
      </c>
      <c r="AJ42" s="5" cm="1">
        <f t="array" ref="AJ42">+SUM($C$39:$AH$39*C42:AH42)</f>
        <v>2.0987654320987659</v>
      </c>
      <c r="AK42" s="7">
        <f t="shared" si="2"/>
        <v>0.29982363315696653</v>
      </c>
      <c r="AL42" s="15">
        <f>+_xlfn.XLOOKUP('SRL Test'!AK42,'SRL Transition Model'!$E$4:$E$12,'SRL Transition Model'!$G$4:$G$12,,-1)</f>
        <v>5</v>
      </c>
    </row>
    <row r="43" spans="1:40" x14ac:dyDescent="0.35">
      <c r="A43" s="17"/>
      <c r="B43" t="s">
        <v>155</v>
      </c>
      <c r="C43" s="5">
        <f t="shared" si="1"/>
        <v>0</v>
      </c>
      <c r="D43" s="5">
        <f t="shared" si="0"/>
        <v>0</v>
      </c>
      <c r="E43" s="5">
        <f t="shared" si="0"/>
        <v>0.44444444444444442</v>
      </c>
      <c r="F43" s="5">
        <f t="shared" si="0"/>
        <v>1</v>
      </c>
      <c r="G43" s="5">
        <f t="shared" si="0"/>
        <v>0</v>
      </c>
      <c r="H43" s="5">
        <f t="shared" si="0"/>
        <v>0</v>
      </c>
      <c r="I43" s="5">
        <f t="shared" si="0"/>
        <v>0</v>
      </c>
      <c r="J43" s="5">
        <f t="shared" si="0"/>
        <v>0</v>
      </c>
      <c r="K43" s="5">
        <f t="shared" si="0"/>
        <v>0</v>
      </c>
      <c r="L43" s="5">
        <f t="shared" si="0"/>
        <v>0</v>
      </c>
      <c r="M43" s="5">
        <f t="shared" si="0"/>
        <v>0</v>
      </c>
      <c r="N43" s="5">
        <f t="shared" si="0"/>
        <v>0</v>
      </c>
      <c r="O43" s="5">
        <f t="shared" si="0"/>
        <v>0</v>
      </c>
      <c r="P43" s="5">
        <f t="shared" si="0"/>
        <v>0</v>
      </c>
      <c r="Q43" s="5">
        <f t="shared" si="0"/>
        <v>0</v>
      </c>
      <c r="R43" s="5">
        <f t="shared" si="0"/>
        <v>0</v>
      </c>
      <c r="S43" s="5">
        <f t="shared" si="0"/>
        <v>0</v>
      </c>
      <c r="T43" s="5">
        <f t="shared" si="0"/>
        <v>0</v>
      </c>
      <c r="U43" s="5">
        <f t="shared" si="0"/>
        <v>0</v>
      </c>
      <c r="V43" s="5">
        <f t="shared" si="0"/>
        <v>0</v>
      </c>
      <c r="W43" s="5">
        <f t="shared" si="0"/>
        <v>0</v>
      </c>
      <c r="X43" s="5">
        <f t="shared" si="0"/>
        <v>0</v>
      </c>
      <c r="Y43" s="5">
        <f t="shared" si="0"/>
        <v>0</v>
      </c>
      <c r="Z43" s="5">
        <f t="shared" si="0"/>
        <v>0</v>
      </c>
      <c r="AA43" s="5">
        <f t="shared" si="0"/>
        <v>0</v>
      </c>
      <c r="AB43" s="5">
        <f t="shared" si="0"/>
        <v>0</v>
      </c>
      <c r="AC43" s="5">
        <f t="shared" si="0"/>
        <v>0</v>
      </c>
      <c r="AD43" s="5">
        <f t="shared" si="0"/>
        <v>0</v>
      </c>
      <c r="AE43" s="5">
        <f t="shared" si="0"/>
        <v>0</v>
      </c>
      <c r="AF43" s="5">
        <f t="shared" si="0"/>
        <v>0</v>
      </c>
      <c r="AG43" s="5">
        <f t="shared" si="0"/>
        <v>0</v>
      </c>
      <c r="AH43" s="5">
        <f t="shared" si="0"/>
        <v>0</v>
      </c>
      <c r="AJ43" s="5" cm="1">
        <f t="array" ref="AJ43">+SUM($C$39:$AH$39*C43:AH43)</f>
        <v>1.2345679012345678</v>
      </c>
      <c r="AK43" s="7">
        <f t="shared" si="2"/>
        <v>0.61728395061728392</v>
      </c>
      <c r="AL43" s="15">
        <f>+_xlfn.XLOOKUP('SRL Test'!AK43,'SRL Transition Model'!$E$4:$E$12,'SRL Transition Model'!$G$4:$G$12,,-1)</f>
        <v>7</v>
      </c>
    </row>
    <row r="44" spans="1:40" x14ac:dyDescent="0.35">
      <c r="A44" s="17"/>
      <c r="B44" t="s">
        <v>156</v>
      </c>
      <c r="C44" s="5">
        <f t="shared" si="1"/>
        <v>0</v>
      </c>
      <c r="D44" s="5">
        <f t="shared" si="0"/>
        <v>0</v>
      </c>
      <c r="E44" s="5">
        <f t="shared" si="0"/>
        <v>0.44444444444444442</v>
      </c>
      <c r="F44" s="5">
        <f t="shared" si="0"/>
        <v>0</v>
      </c>
      <c r="G44" s="5">
        <f t="shared" si="0"/>
        <v>1</v>
      </c>
      <c r="H44" s="5">
        <f t="shared" si="0"/>
        <v>0</v>
      </c>
      <c r="I44" s="5">
        <f t="shared" si="0"/>
        <v>0</v>
      </c>
      <c r="J44" s="5">
        <f t="shared" si="0"/>
        <v>0</v>
      </c>
      <c r="K44" s="5">
        <f t="shared" si="0"/>
        <v>0</v>
      </c>
      <c r="L44" s="5">
        <f t="shared" si="0"/>
        <v>0</v>
      </c>
      <c r="M44" s="5">
        <f t="shared" si="0"/>
        <v>0</v>
      </c>
      <c r="N44" s="5">
        <f t="shared" si="0"/>
        <v>0</v>
      </c>
      <c r="O44" s="5">
        <f t="shared" si="0"/>
        <v>0</v>
      </c>
      <c r="P44" s="5">
        <f t="shared" si="0"/>
        <v>0</v>
      </c>
      <c r="Q44" s="5">
        <f t="shared" si="0"/>
        <v>0</v>
      </c>
      <c r="R44" s="5">
        <f t="shared" si="0"/>
        <v>0</v>
      </c>
      <c r="S44" s="5">
        <f t="shared" si="0"/>
        <v>0</v>
      </c>
      <c r="T44" s="5">
        <f t="shared" si="0"/>
        <v>0</v>
      </c>
      <c r="U44" s="5">
        <f t="shared" si="0"/>
        <v>0</v>
      </c>
      <c r="V44" s="5">
        <f t="shared" si="0"/>
        <v>0</v>
      </c>
      <c r="W44" s="5">
        <f t="shared" si="0"/>
        <v>0</v>
      </c>
      <c r="X44" s="5">
        <f t="shared" si="0"/>
        <v>0</v>
      </c>
      <c r="Y44" s="5">
        <f t="shared" si="0"/>
        <v>0</v>
      </c>
      <c r="Z44" s="5">
        <f t="shared" si="0"/>
        <v>0</v>
      </c>
      <c r="AA44" s="5">
        <f t="shared" si="0"/>
        <v>0</v>
      </c>
      <c r="AB44" s="5">
        <f t="shared" si="0"/>
        <v>0</v>
      </c>
      <c r="AC44" s="5">
        <f t="shared" si="0"/>
        <v>0</v>
      </c>
      <c r="AD44" s="5">
        <f t="shared" si="0"/>
        <v>0</v>
      </c>
      <c r="AE44" s="5">
        <f t="shared" si="0"/>
        <v>0</v>
      </c>
      <c r="AF44" s="5">
        <f t="shared" si="0"/>
        <v>0</v>
      </c>
      <c r="AG44" s="5">
        <f t="shared" si="0"/>
        <v>0</v>
      </c>
      <c r="AH44" s="5">
        <f t="shared" si="0"/>
        <v>0</v>
      </c>
      <c r="AJ44" s="5" cm="1">
        <f t="array" ref="AJ44">+SUM($C$39:$AH$39*C44:AH44)</f>
        <v>1.1234567901234567</v>
      </c>
      <c r="AK44" s="7">
        <f t="shared" si="2"/>
        <v>0.56172839506172834</v>
      </c>
      <c r="AL44" s="15">
        <f>+_xlfn.XLOOKUP('SRL Test'!AK44,'SRL Transition Model'!$E$4:$E$12,'SRL Transition Model'!$G$4:$G$12,,-1)</f>
        <v>7</v>
      </c>
    </row>
    <row r="45" spans="1:40" x14ac:dyDescent="0.35">
      <c r="A45" s="17"/>
      <c r="B45" t="s">
        <v>157</v>
      </c>
      <c r="C45" s="5">
        <f t="shared" si="1"/>
        <v>0</v>
      </c>
      <c r="D45" s="5">
        <f t="shared" si="0"/>
        <v>0</v>
      </c>
      <c r="E45" s="5">
        <f t="shared" si="0"/>
        <v>0.33333333333333331</v>
      </c>
      <c r="F45" s="5">
        <f t="shared" si="0"/>
        <v>0</v>
      </c>
      <c r="G45" s="5">
        <f t="shared" si="0"/>
        <v>0</v>
      </c>
      <c r="H45" s="5">
        <f t="shared" si="0"/>
        <v>1</v>
      </c>
      <c r="I45" s="5">
        <f t="shared" si="0"/>
        <v>0</v>
      </c>
      <c r="J45" s="5">
        <f t="shared" si="0"/>
        <v>0</v>
      </c>
      <c r="K45" s="5">
        <f t="shared" si="0"/>
        <v>0</v>
      </c>
      <c r="L45" s="5">
        <f t="shared" si="0"/>
        <v>0</v>
      </c>
      <c r="M45" s="5">
        <f t="shared" si="0"/>
        <v>0</v>
      </c>
      <c r="N45" s="5">
        <f t="shared" si="0"/>
        <v>0</v>
      </c>
      <c r="O45" s="5">
        <f t="shared" si="0"/>
        <v>0</v>
      </c>
      <c r="P45" s="5">
        <f t="shared" si="0"/>
        <v>0</v>
      </c>
      <c r="Q45" s="5">
        <f t="shared" si="0"/>
        <v>0</v>
      </c>
      <c r="R45" s="5">
        <f t="shared" si="0"/>
        <v>0</v>
      </c>
      <c r="S45" s="5">
        <f t="shared" si="0"/>
        <v>0</v>
      </c>
      <c r="T45" s="5">
        <f t="shared" si="0"/>
        <v>0</v>
      </c>
      <c r="U45" s="5">
        <f t="shared" si="0"/>
        <v>0</v>
      </c>
      <c r="V45" s="5">
        <f t="shared" si="0"/>
        <v>0</v>
      </c>
      <c r="W45" s="5">
        <f t="shared" si="0"/>
        <v>0</v>
      </c>
      <c r="X45" s="5">
        <f t="shared" si="0"/>
        <v>0</v>
      </c>
      <c r="Y45" s="5">
        <f t="shared" si="0"/>
        <v>0</v>
      </c>
      <c r="Z45" s="5">
        <f t="shared" si="0"/>
        <v>0</v>
      </c>
      <c r="AA45" s="5">
        <f t="shared" si="0"/>
        <v>0</v>
      </c>
      <c r="AB45" s="5">
        <f t="shared" si="0"/>
        <v>0</v>
      </c>
      <c r="AC45" s="5">
        <f t="shared" si="0"/>
        <v>0</v>
      </c>
      <c r="AD45" s="5">
        <f t="shared" si="0"/>
        <v>0</v>
      </c>
      <c r="AE45" s="5">
        <f t="shared" si="0"/>
        <v>0</v>
      </c>
      <c r="AF45" s="5">
        <f t="shared" si="0"/>
        <v>0</v>
      </c>
      <c r="AG45" s="5">
        <f t="shared" si="0"/>
        <v>0</v>
      </c>
      <c r="AH45" s="5">
        <f t="shared" si="0"/>
        <v>0</v>
      </c>
      <c r="AJ45" s="5" cm="1">
        <f t="array" ref="AJ45">+SUM($C$39:$AH$39*C45:AH45)</f>
        <v>1.1481481481481479</v>
      </c>
      <c r="AK45" s="7">
        <f t="shared" si="2"/>
        <v>0.57407407407407396</v>
      </c>
      <c r="AL45" s="15">
        <f>+_xlfn.XLOOKUP('SRL Test'!AK45,'SRL Transition Model'!$E$4:$E$12,'SRL Transition Model'!$G$4:$G$12,,-1)</f>
        <v>7</v>
      </c>
    </row>
    <row r="46" spans="1:40" x14ac:dyDescent="0.35">
      <c r="A46" s="17"/>
      <c r="B46" t="s">
        <v>158</v>
      </c>
      <c r="C46" s="5">
        <f t="shared" si="1"/>
        <v>0</v>
      </c>
      <c r="D46" s="5">
        <f t="shared" si="0"/>
        <v>0</v>
      </c>
      <c r="E46" s="5">
        <f t="shared" si="0"/>
        <v>0.33333333333333331</v>
      </c>
      <c r="F46" s="5">
        <f t="shared" si="0"/>
        <v>0</v>
      </c>
      <c r="G46" s="5">
        <f t="shared" si="0"/>
        <v>0</v>
      </c>
      <c r="H46" s="5">
        <f t="shared" si="0"/>
        <v>0</v>
      </c>
      <c r="I46" s="5">
        <f t="shared" si="0"/>
        <v>1</v>
      </c>
      <c r="J46" s="5">
        <f t="shared" si="0"/>
        <v>0</v>
      </c>
      <c r="K46" s="5">
        <f t="shared" si="0"/>
        <v>0</v>
      </c>
      <c r="L46" s="5">
        <f t="shared" si="0"/>
        <v>0</v>
      </c>
      <c r="M46" s="5">
        <f t="shared" si="0"/>
        <v>0</v>
      </c>
      <c r="N46" s="5">
        <f t="shared" si="0"/>
        <v>0</v>
      </c>
      <c r="O46" s="5">
        <f t="shared" si="0"/>
        <v>0</v>
      </c>
      <c r="P46" s="5">
        <f t="shared" si="0"/>
        <v>0</v>
      </c>
      <c r="Q46" s="5">
        <f t="shared" si="0"/>
        <v>0</v>
      </c>
      <c r="R46" s="5">
        <f t="shared" si="0"/>
        <v>0</v>
      </c>
      <c r="S46" s="5">
        <f t="shared" si="0"/>
        <v>0</v>
      </c>
      <c r="T46" s="5">
        <f t="shared" si="0"/>
        <v>0</v>
      </c>
      <c r="U46" s="5">
        <f t="shared" si="0"/>
        <v>0</v>
      </c>
      <c r="V46" s="5">
        <f t="shared" si="0"/>
        <v>0</v>
      </c>
      <c r="W46" s="5">
        <f t="shared" si="0"/>
        <v>0</v>
      </c>
      <c r="X46" s="5">
        <f t="shared" si="0"/>
        <v>0</v>
      </c>
      <c r="Y46" s="5">
        <f t="shared" si="0"/>
        <v>0</v>
      </c>
      <c r="Z46" s="5">
        <f t="shared" si="0"/>
        <v>0</v>
      </c>
      <c r="AA46" s="5">
        <f t="shared" si="0"/>
        <v>0</v>
      </c>
      <c r="AB46" s="5">
        <f t="shared" si="0"/>
        <v>0</v>
      </c>
      <c r="AC46" s="5">
        <f t="shared" si="0"/>
        <v>0</v>
      </c>
      <c r="AD46" s="5">
        <f t="shared" si="0"/>
        <v>0</v>
      </c>
      <c r="AE46" s="5">
        <f t="shared" si="0"/>
        <v>0</v>
      </c>
      <c r="AF46" s="5">
        <f t="shared" si="0"/>
        <v>0</v>
      </c>
      <c r="AG46" s="5">
        <f t="shared" si="0"/>
        <v>0</v>
      </c>
      <c r="AH46" s="5">
        <f t="shared" si="0"/>
        <v>0</v>
      </c>
      <c r="AJ46" s="5" cm="1">
        <f t="array" ref="AJ46">+SUM($C$39:$AH$39*C46:AH46)</f>
        <v>1.0370370370370368</v>
      </c>
      <c r="AK46" s="7">
        <f t="shared" si="2"/>
        <v>0.51851851851851838</v>
      </c>
      <c r="AL46" s="15">
        <f>+_xlfn.XLOOKUP('SRL Test'!AK46,'SRL Transition Model'!$E$4:$E$12,'SRL Transition Model'!$G$4:$G$12,,-1)</f>
        <v>6</v>
      </c>
    </row>
    <row r="47" spans="1:40" x14ac:dyDescent="0.35">
      <c r="A47" s="17"/>
      <c r="B47" t="s">
        <v>159</v>
      </c>
      <c r="C47" s="5">
        <f t="shared" si="1"/>
        <v>0</v>
      </c>
      <c r="D47" s="5">
        <f t="shared" si="0"/>
        <v>0</v>
      </c>
      <c r="E47" s="5">
        <f t="shared" si="0"/>
        <v>0.33333333333333331</v>
      </c>
      <c r="F47" s="5">
        <f t="shared" si="0"/>
        <v>0</v>
      </c>
      <c r="G47" s="5">
        <f t="shared" si="0"/>
        <v>0</v>
      </c>
      <c r="H47" s="5">
        <f t="shared" si="0"/>
        <v>0</v>
      </c>
      <c r="I47" s="5">
        <f t="shared" si="0"/>
        <v>0</v>
      </c>
      <c r="J47" s="5">
        <f t="shared" si="0"/>
        <v>1</v>
      </c>
      <c r="K47" s="5">
        <f t="shared" si="0"/>
        <v>0</v>
      </c>
      <c r="L47" s="5">
        <f t="shared" si="0"/>
        <v>0</v>
      </c>
      <c r="M47" s="5">
        <f t="shared" si="0"/>
        <v>0</v>
      </c>
      <c r="N47" s="5">
        <f t="shared" si="0"/>
        <v>0</v>
      </c>
      <c r="O47" s="5">
        <f t="shared" si="0"/>
        <v>0</v>
      </c>
      <c r="P47" s="5">
        <f t="shared" si="0"/>
        <v>0</v>
      </c>
      <c r="Q47" s="5">
        <f t="shared" si="0"/>
        <v>0</v>
      </c>
      <c r="R47" s="5">
        <f t="shared" si="0"/>
        <v>0</v>
      </c>
      <c r="S47" s="5">
        <f t="shared" si="0"/>
        <v>0</v>
      </c>
      <c r="T47" s="5">
        <f t="shared" si="0"/>
        <v>0</v>
      </c>
      <c r="U47" s="5">
        <f t="shared" si="0"/>
        <v>0</v>
      </c>
      <c r="V47" s="5">
        <f t="shared" si="0"/>
        <v>0</v>
      </c>
      <c r="W47" s="5">
        <f t="shared" si="0"/>
        <v>0</v>
      </c>
      <c r="X47" s="5">
        <f t="shared" si="0"/>
        <v>0</v>
      </c>
      <c r="Y47" s="5">
        <f t="shared" si="0"/>
        <v>0</v>
      </c>
      <c r="Z47" s="5">
        <f t="shared" ref="D47:AH55" si="3">1/9*Z11</f>
        <v>0</v>
      </c>
      <c r="AA47" s="5">
        <f t="shared" si="3"/>
        <v>0</v>
      </c>
      <c r="AB47" s="5">
        <f t="shared" si="3"/>
        <v>0</v>
      </c>
      <c r="AC47" s="5">
        <f t="shared" si="3"/>
        <v>0</v>
      </c>
      <c r="AD47" s="5">
        <f t="shared" si="3"/>
        <v>0</v>
      </c>
      <c r="AE47" s="5">
        <f t="shared" si="3"/>
        <v>0</v>
      </c>
      <c r="AF47" s="5">
        <f t="shared" si="3"/>
        <v>0</v>
      </c>
      <c r="AG47" s="5">
        <f t="shared" si="3"/>
        <v>0</v>
      </c>
      <c r="AH47" s="5">
        <f t="shared" si="3"/>
        <v>0</v>
      </c>
      <c r="AJ47" s="5" cm="1">
        <f t="array" ref="AJ47">+SUM($C$39:$AH$39*C47:AH47)</f>
        <v>0.92592592592592582</v>
      </c>
      <c r="AK47" s="7">
        <f t="shared" si="2"/>
        <v>0.46296296296296291</v>
      </c>
      <c r="AL47" s="15">
        <f>+_xlfn.XLOOKUP('SRL Test'!AK47,'SRL Transition Model'!$E$4:$E$12,'SRL Transition Model'!$G$4:$G$12,,-1)</f>
        <v>6</v>
      </c>
    </row>
    <row r="48" spans="1:40" x14ac:dyDescent="0.35">
      <c r="A48" s="17"/>
      <c r="B48" t="s">
        <v>160</v>
      </c>
      <c r="C48" s="5">
        <f t="shared" si="1"/>
        <v>0</v>
      </c>
      <c r="D48" s="5">
        <f t="shared" si="3"/>
        <v>0</v>
      </c>
      <c r="E48" s="5">
        <f t="shared" si="3"/>
        <v>0</v>
      </c>
      <c r="F48" s="5">
        <f t="shared" si="3"/>
        <v>0</v>
      </c>
      <c r="G48" s="5">
        <f t="shared" si="3"/>
        <v>0</v>
      </c>
      <c r="H48" s="5">
        <f t="shared" si="3"/>
        <v>0</v>
      </c>
      <c r="I48" s="5">
        <f t="shared" si="3"/>
        <v>0</v>
      </c>
      <c r="J48" s="5">
        <f t="shared" si="3"/>
        <v>0</v>
      </c>
      <c r="K48" s="5">
        <f t="shared" si="3"/>
        <v>1</v>
      </c>
      <c r="L48" s="5">
        <f t="shared" si="3"/>
        <v>0</v>
      </c>
      <c r="M48" s="5">
        <f t="shared" si="3"/>
        <v>0</v>
      </c>
      <c r="N48" s="5">
        <f t="shared" si="3"/>
        <v>0</v>
      </c>
      <c r="O48" s="5">
        <f t="shared" si="3"/>
        <v>0</v>
      </c>
      <c r="P48" s="5">
        <f t="shared" si="3"/>
        <v>0</v>
      </c>
      <c r="Q48" s="5">
        <f t="shared" si="3"/>
        <v>0</v>
      </c>
      <c r="R48" s="5">
        <f t="shared" si="3"/>
        <v>0</v>
      </c>
      <c r="S48" s="5">
        <f t="shared" si="3"/>
        <v>0</v>
      </c>
      <c r="T48" s="5">
        <f t="shared" si="3"/>
        <v>0</v>
      </c>
      <c r="U48" s="5">
        <f t="shared" si="3"/>
        <v>0</v>
      </c>
      <c r="V48" s="5">
        <f t="shared" si="3"/>
        <v>0</v>
      </c>
      <c r="W48" s="5">
        <f t="shared" si="3"/>
        <v>0</v>
      </c>
      <c r="X48" s="5">
        <f t="shared" si="3"/>
        <v>0</v>
      </c>
      <c r="Y48" s="5">
        <f t="shared" si="3"/>
        <v>0</v>
      </c>
      <c r="Z48" s="5">
        <f t="shared" si="3"/>
        <v>0</v>
      </c>
      <c r="AA48" s="5">
        <f t="shared" si="3"/>
        <v>0</v>
      </c>
      <c r="AB48" s="5">
        <f t="shared" si="3"/>
        <v>0</v>
      </c>
      <c r="AC48" s="5">
        <f t="shared" si="3"/>
        <v>0</v>
      </c>
      <c r="AD48" s="5">
        <f t="shared" si="3"/>
        <v>0</v>
      </c>
      <c r="AE48" s="5">
        <f t="shared" si="3"/>
        <v>0</v>
      </c>
      <c r="AF48" s="5">
        <f t="shared" si="3"/>
        <v>0</v>
      </c>
      <c r="AG48" s="5">
        <f t="shared" si="3"/>
        <v>0</v>
      </c>
      <c r="AH48" s="5">
        <f t="shared" si="3"/>
        <v>0</v>
      </c>
      <c r="AJ48" s="5" cm="1">
        <f t="array" ref="AJ48">+SUM($C$39:$AH$39*C48:AH48)</f>
        <v>0.66666666666666663</v>
      </c>
      <c r="AK48" s="7">
        <f t="shared" si="2"/>
        <v>0.66666666666666663</v>
      </c>
      <c r="AL48" s="15">
        <f>+_xlfn.XLOOKUP('SRL Test'!AK48,'SRL Transition Model'!$E$4:$E$12,'SRL Transition Model'!$G$4:$G$12,,-1)</f>
        <v>7</v>
      </c>
      <c r="AN48" t="str">
        <f>+_xlfn.CONCAT("Samlet SRA = ",AL38)</f>
        <v>Samlet SRA = 6</v>
      </c>
    </row>
    <row r="49" spans="1:38" x14ac:dyDescent="0.35">
      <c r="A49" s="17"/>
      <c r="B49" t="s">
        <v>161</v>
      </c>
      <c r="C49" s="5">
        <f t="shared" si="1"/>
        <v>0</v>
      </c>
      <c r="D49" s="5">
        <f t="shared" si="3"/>
        <v>0</v>
      </c>
      <c r="E49" s="5">
        <f t="shared" si="3"/>
        <v>0</v>
      </c>
      <c r="F49" s="5">
        <f t="shared" si="3"/>
        <v>0</v>
      </c>
      <c r="G49" s="5">
        <f t="shared" si="3"/>
        <v>0</v>
      </c>
      <c r="H49" s="5">
        <f t="shared" si="3"/>
        <v>0</v>
      </c>
      <c r="I49" s="5">
        <f t="shared" si="3"/>
        <v>0</v>
      </c>
      <c r="J49" s="5">
        <f t="shared" si="3"/>
        <v>0</v>
      </c>
      <c r="K49" s="5">
        <f t="shared" si="3"/>
        <v>0</v>
      </c>
      <c r="L49" s="5">
        <f t="shared" si="3"/>
        <v>1</v>
      </c>
      <c r="M49" s="5">
        <f t="shared" si="3"/>
        <v>0</v>
      </c>
      <c r="N49" s="5">
        <f t="shared" si="3"/>
        <v>0</v>
      </c>
      <c r="O49" s="5">
        <f t="shared" si="3"/>
        <v>0</v>
      </c>
      <c r="P49" s="5">
        <f t="shared" si="3"/>
        <v>0</v>
      </c>
      <c r="Q49" s="5">
        <f t="shared" si="3"/>
        <v>0</v>
      </c>
      <c r="R49" s="5">
        <f t="shared" si="3"/>
        <v>0</v>
      </c>
      <c r="S49" s="5">
        <f t="shared" si="3"/>
        <v>0</v>
      </c>
      <c r="T49" s="5">
        <f t="shared" si="3"/>
        <v>0</v>
      </c>
      <c r="U49" s="5">
        <f t="shared" si="3"/>
        <v>0</v>
      </c>
      <c r="V49" s="5">
        <f t="shared" si="3"/>
        <v>0</v>
      </c>
      <c r="W49" s="5">
        <f t="shared" si="3"/>
        <v>0</v>
      </c>
      <c r="X49" s="5">
        <f t="shared" si="3"/>
        <v>0</v>
      </c>
      <c r="Y49" s="5">
        <f t="shared" si="3"/>
        <v>0</v>
      </c>
      <c r="Z49" s="5">
        <f t="shared" si="3"/>
        <v>0</v>
      </c>
      <c r="AA49" s="5">
        <f t="shared" si="3"/>
        <v>0</v>
      </c>
      <c r="AB49" s="5">
        <f t="shared" si="3"/>
        <v>0</v>
      </c>
      <c r="AC49" s="5">
        <f t="shared" si="3"/>
        <v>0</v>
      </c>
      <c r="AD49" s="5">
        <f t="shared" si="3"/>
        <v>0</v>
      </c>
      <c r="AE49" s="5">
        <f t="shared" si="3"/>
        <v>0</v>
      </c>
      <c r="AF49" s="5">
        <f t="shared" si="3"/>
        <v>0</v>
      </c>
      <c r="AG49" s="5">
        <f t="shared" si="3"/>
        <v>0</v>
      </c>
      <c r="AH49" s="5">
        <f t="shared" si="3"/>
        <v>0</v>
      </c>
      <c r="AJ49" s="5" cm="1">
        <f t="array" ref="AJ49">+SUM($C$39:$AH$39*C49:AH49)</f>
        <v>0.66666666666666663</v>
      </c>
      <c r="AK49" s="7">
        <f t="shared" si="2"/>
        <v>0.66666666666666663</v>
      </c>
      <c r="AL49" s="15">
        <f>+_xlfn.XLOOKUP('SRL Test'!AK49,'SRL Transition Model'!$E$4:$E$12,'SRL Transition Model'!$G$4:$G$12,,-1)</f>
        <v>7</v>
      </c>
    </row>
    <row r="50" spans="1:38" x14ac:dyDescent="0.35">
      <c r="A50" s="17"/>
      <c r="B50" t="s">
        <v>162</v>
      </c>
      <c r="C50" s="5">
        <f t="shared" si="1"/>
        <v>0</v>
      </c>
      <c r="D50" s="5">
        <f t="shared" si="3"/>
        <v>0</v>
      </c>
      <c r="E50" s="5">
        <f t="shared" si="3"/>
        <v>0.33333333333333331</v>
      </c>
      <c r="F50" s="5">
        <f t="shared" si="3"/>
        <v>0</v>
      </c>
      <c r="G50" s="5">
        <f t="shared" si="3"/>
        <v>0</v>
      </c>
      <c r="H50" s="5">
        <f t="shared" si="3"/>
        <v>0</v>
      </c>
      <c r="I50" s="5">
        <f t="shared" si="3"/>
        <v>0</v>
      </c>
      <c r="J50" s="5">
        <f t="shared" si="3"/>
        <v>0</v>
      </c>
      <c r="K50" s="5">
        <f t="shared" si="3"/>
        <v>0</v>
      </c>
      <c r="L50" s="5">
        <f t="shared" si="3"/>
        <v>0</v>
      </c>
      <c r="M50" s="5">
        <f t="shared" si="3"/>
        <v>1</v>
      </c>
      <c r="N50" s="5">
        <f t="shared" si="3"/>
        <v>0</v>
      </c>
      <c r="O50" s="5">
        <f t="shared" si="3"/>
        <v>0</v>
      </c>
      <c r="P50" s="5">
        <f t="shared" si="3"/>
        <v>0</v>
      </c>
      <c r="Q50" s="5">
        <f t="shared" si="3"/>
        <v>0</v>
      </c>
      <c r="R50" s="5">
        <f t="shared" si="3"/>
        <v>0</v>
      </c>
      <c r="S50" s="5">
        <f t="shared" si="3"/>
        <v>0</v>
      </c>
      <c r="T50" s="5">
        <f t="shared" si="3"/>
        <v>0</v>
      </c>
      <c r="U50" s="5">
        <f t="shared" si="3"/>
        <v>0</v>
      </c>
      <c r="V50" s="5">
        <f t="shared" si="3"/>
        <v>0</v>
      </c>
      <c r="W50" s="5">
        <f t="shared" si="3"/>
        <v>0</v>
      </c>
      <c r="X50" s="5">
        <f t="shared" si="3"/>
        <v>0</v>
      </c>
      <c r="Y50" s="5">
        <f t="shared" si="3"/>
        <v>0</v>
      </c>
      <c r="Z50" s="5">
        <f t="shared" si="3"/>
        <v>0</v>
      </c>
      <c r="AA50" s="5">
        <f t="shared" si="3"/>
        <v>0</v>
      </c>
      <c r="AB50" s="5">
        <f t="shared" si="3"/>
        <v>0</v>
      </c>
      <c r="AC50" s="5">
        <f t="shared" si="3"/>
        <v>0</v>
      </c>
      <c r="AD50" s="5">
        <f t="shared" si="3"/>
        <v>0</v>
      </c>
      <c r="AE50" s="5">
        <f t="shared" si="3"/>
        <v>0</v>
      </c>
      <c r="AF50" s="5">
        <f t="shared" si="3"/>
        <v>0</v>
      </c>
      <c r="AG50" s="5">
        <f t="shared" si="3"/>
        <v>0</v>
      </c>
      <c r="AH50" s="5">
        <f t="shared" si="3"/>
        <v>0</v>
      </c>
      <c r="AJ50" s="5" cm="1">
        <f t="array" ref="AJ50">+SUM($C$39:$AH$39*C50:AH50)</f>
        <v>0.92592592592592582</v>
      </c>
      <c r="AK50" s="7">
        <f t="shared" si="2"/>
        <v>0.46296296296296291</v>
      </c>
      <c r="AL50" s="15">
        <f>+_xlfn.XLOOKUP('SRL Test'!AK50,'SRL Transition Model'!$E$4:$E$12,'SRL Transition Model'!$G$4:$G$12,,-1)</f>
        <v>6</v>
      </c>
    </row>
    <row r="51" spans="1:38" x14ac:dyDescent="0.35">
      <c r="A51" s="17"/>
      <c r="B51" t="s">
        <v>163</v>
      </c>
      <c r="C51" s="5">
        <f t="shared" si="1"/>
        <v>0</v>
      </c>
      <c r="D51" s="5">
        <f t="shared" si="3"/>
        <v>0</v>
      </c>
      <c r="E51" s="5">
        <f t="shared" si="3"/>
        <v>0</v>
      </c>
      <c r="F51" s="5">
        <f t="shared" si="3"/>
        <v>0</v>
      </c>
      <c r="G51" s="5">
        <f t="shared" si="3"/>
        <v>0</v>
      </c>
      <c r="H51" s="5">
        <f t="shared" si="3"/>
        <v>0</v>
      </c>
      <c r="I51" s="5">
        <f t="shared" si="3"/>
        <v>0</v>
      </c>
      <c r="J51" s="5">
        <f t="shared" si="3"/>
        <v>0</v>
      </c>
      <c r="K51" s="5">
        <f t="shared" si="3"/>
        <v>0</v>
      </c>
      <c r="L51" s="5">
        <f t="shared" si="3"/>
        <v>0</v>
      </c>
      <c r="M51" s="5">
        <f t="shared" si="3"/>
        <v>0</v>
      </c>
      <c r="N51" s="5">
        <f t="shared" si="3"/>
        <v>1</v>
      </c>
      <c r="O51" s="5">
        <f t="shared" si="3"/>
        <v>0</v>
      </c>
      <c r="P51" s="5">
        <f t="shared" si="3"/>
        <v>0</v>
      </c>
      <c r="Q51" s="5">
        <f t="shared" si="3"/>
        <v>0</v>
      </c>
      <c r="R51" s="5">
        <f t="shared" si="3"/>
        <v>0</v>
      </c>
      <c r="S51" s="5">
        <f t="shared" si="3"/>
        <v>0</v>
      </c>
      <c r="T51" s="5">
        <f t="shared" si="3"/>
        <v>0</v>
      </c>
      <c r="U51" s="5">
        <f t="shared" si="3"/>
        <v>0</v>
      </c>
      <c r="V51" s="5">
        <f t="shared" si="3"/>
        <v>0</v>
      </c>
      <c r="W51" s="5">
        <f t="shared" si="3"/>
        <v>0</v>
      </c>
      <c r="X51" s="5">
        <f t="shared" si="3"/>
        <v>0</v>
      </c>
      <c r="Y51" s="5">
        <f t="shared" si="3"/>
        <v>0</v>
      </c>
      <c r="Z51" s="5">
        <f t="shared" si="3"/>
        <v>0</v>
      </c>
      <c r="AA51" s="5">
        <f t="shared" si="3"/>
        <v>0</v>
      </c>
      <c r="AB51" s="5">
        <f t="shared" si="3"/>
        <v>0</v>
      </c>
      <c r="AC51" s="5">
        <f t="shared" si="3"/>
        <v>0</v>
      </c>
      <c r="AD51" s="5">
        <f t="shared" si="3"/>
        <v>0</v>
      </c>
      <c r="AE51" s="5">
        <f t="shared" si="3"/>
        <v>0</v>
      </c>
      <c r="AF51" s="5">
        <f t="shared" si="3"/>
        <v>0</v>
      </c>
      <c r="AG51" s="5">
        <f t="shared" si="3"/>
        <v>0</v>
      </c>
      <c r="AH51" s="5">
        <f t="shared" si="3"/>
        <v>0</v>
      </c>
      <c r="AJ51" s="5" cm="1">
        <f t="array" ref="AJ51">+SUM($C$39:$AH$39*C51:AH51)</f>
        <v>0.66666666666666663</v>
      </c>
      <c r="AK51" s="7">
        <f t="shared" si="2"/>
        <v>0.66666666666666663</v>
      </c>
      <c r="AL51" s="15">
        <f>+_xlfn.XLOOKUP('SRL Test'!AK51,'SRL Transition Model'!$E$4:$E$12,'SRL Transition Model'!$G$4:$G$12,,-1)</f>
        <v>7</v>
      </c>
    </row>
    <row r="52" spans="1:38" x14ac:dyDescent="0.35">
      <c r="A52" s="17"/>
      <c r="B52" t="s">
        <v>164</v>
      </c>
      <c r="C52" s="5">
        <f t="shared" si="1"/>
        <v>0</v>
      </c>
      <c r="D52" s="5">
        <f t="shared" si="3"/>
        <v>0</v>
      </c>
      <c r="E52" s="5">
        <f t="shared" si="3"/>
        <v>0</v>
      </c>
      <c r="F52" s="5">
        <f t="shared" si="3"/>
        <v>0</v>
      </c>
      <c r="G52" s="5">
        <f t="shared" si="3"/>
        <v>0</v>
      </c>
      <c r="H52" s="5">
        <f t="shared" si="3"/>
        <v>0</v>
      </c>
      <c r="I52" s="5">
        <f t="shared" si="3"/>
        <v>0</v>
      </c>
      <c r="J52" s="5">
        <f t="shared" si="3"/>
        <v>0</v>
      </c>
      <c r="K52" s="5">
        <f t="shared" si="3"/>
        <v>0</v>
      </c>
      <c r="L52" s="5">
        <f t="shared" si="3"/>
        <v>0</v>
      </c>
      <c r="M52" s="5">
        <f t="shared" si="3"/>
        <v>0</v>
      </c>
      <c r="N52" s="5">
        <f t="shared" si="3"/>
        <v>0</v>
      </c>
      <c r="O52" s="5">
        <f t="shared" si="3"/>
        <v>1</v>
      </c>
      <c r="P52" s="5">
        <f t="shared" si="3"/>
        <v>0</v>
      </c>
      <c r="Q52" s="5">
        <f t="shared" si="3"/>
        <v>0</v>
      </c>
      <c r="R52" s="5">
        <f t="shared" si="3"/>
        <v>0.22222222222222221</v>
      </c>
      <c r="S52" s="5">
        <f t="shared" si="3"/>
        <v>0</v>
      </c>
      <c r="T52" s="5">
        <f t="shared" si="3"/>
        <v>0</v>
      </c>
      <c r="U52" s="5">
        <f t="shared" si="3"/>
        <v>0</v>
      </c>
      <c r="V52" s="5">
        <f t="shared" si="3"/>
        <v>0</v>
      </c>
      <c r="W52" s="5">
        <f t="shared" si="3"/>
        <v>0</v>
      </c>
      <c r="X52" s="5">
        <f t="shared" si="3"/>
        <v>0</v>
      </c>
      <c r="Y52" s="5">
        <f t="shared" si="3"/>
        <v>0</v>
      </c>
      <c r="Z52" s="5">
        <f t="shared" si="3"/>
        <v>0</v>
      </c>
      <c r="AA52" s="5">
        <f t="shared" si="3"/>
        <v>0</v>
      </c>
      <c r="AB52" s="5">
        <f t="shared" si="3"/>
        <v>0</v>
      </c>
      <c r="AC52" s="5">
        <f t="shared" si="3"/>
        <v>0</v>
      </c>
      <c r="AD52" s="5">
        <f t="shared" si="3"/>
        <v>0</v>
      </c>
      <c r="AE52" s="5">
        <f t="shared" si="3"/>
        <v>0</v>
      </c>
      <c r="AF52" s="5">
        <f t="shared" si="3"/>
        <v>0</v>
      </c>
      <c r="AG52" s="5">
        <f t="shared" si="3"/>
        <v>0</v>
      </c>
      <c r="AH52" s="5">
        <f t="shared" si="3"/>
        <v>0</v>
      </c>
      <c r="AJ52" s="5" cm="1">
        <f t="array" ref="AJ52">+SUM($C$39:$AH$39*C52:AH52)</f>
        <v>0.81481481481481477</v>
      </c>
      <c r="AK52" s="7">
        <f t="shared" si="2"/>
        <v>0.40740740740740738</v>
      </c>
      <c r="AL52" s="15">
        <f>+_xlfn.XLOOKUP('SRL Test'!AK52,'SRL Transition Model'!$E$4:$E$12,'SRL Transition Model'!$G$4:$G$12,,-1)</f>
        <v>6</v>
      </c>
    </row>
    <row r="53" spans="1:38" x14ac:dyDescent="0.35">
      <c r="A53" s="17"/>
      <c r="B53" t="s">
        <v>165</v>
      </c>
      <c r="C53" s="5">
        <f t="shared" si="1"/>
        <v>0</v>
      </c>
      <c r="D53" s="5">
        <f t="shared" si="3"/>
        <v>0</v>
      </c>
      <c r="E53" s="5">
        <f t="shared" si="3"/>
        <v>0.33333333333333331</v>
      </c>
      <c r="F53" s="5">
        <f t="shared" si="3"/>
        <v>0</v>
      </c>
      <c r="G53" s="5">
        <f t="shared" si="3"/>
        <v>0</v>
      </c>
      <c r="H53" s="5">
        <f t="shared" si="3"/>
        <v>0</v>
      </c>
      <c r="I53" s="5">
        <f t="shared" si="3"/>
        <v>0</v>
      </c>
      <c r="J53" s="5">
        <f t="shared" si="3"/>
        <v>0</v>
      </c>
      <c r="K53" s="5">
        <f t="shared" si="3"/>
        <v>0</v>
      </c>
      <c r="L53" s="5">
        <f t="shared" si="3"/>
        <v>0</v>
      </c>
      <c r="M53" s="5">
        <f t="shared" si="3"/>
        <v>0</v>
      </c>
      <c r="N53" s="5">
        <f t="shared" si="3"/>
        <v>0</v>
      </c>
      <c r="O53" s="5">
        <f t="shared" si="3"/>
        <v>0</v>
      </c>
      <c r="P53" s="5">
        <f t="shared" si="3"/>
        <v>1</v>
      </c>
      <c r="Q53" s="5">
        <f t="shared" si="3"/>
        <v>0</v>
      </c>
      <c r="R53" s="5">
        <f t="shared" si="3"/>
        <v>0</v>
      </c>
      <c r="S53" s="5">
        <f t="shared" si="3"/>
        <v>0</v>
      </c>
      <c r="T53" s="5">
        <f t="shared" si="3"/>
        <v>0</v>
      </c>
      <c r="U53" s="5">
        <f t="shared" si="3"/>
        <v>0</v>
      </c>
      <c r="V53" s="5">
        <f t="shared" si="3"/>
        <v>0</v>
      </c>
      <c r="W53" s="5">
        <f t="shared" si="3"/>
        <v>0</v>
      </c>
      <c r="X53" s="5">
        <f t="shared" si="3"/>
        <v>0</v>
      </c>
      <c r="Y53" s="5">
        <f t="shared" si="3"/>
        <v>0</v>
      </c>
      <c r="Z53" s="5">
        <f t="shared" si="3"/>
        <v>0</v>
      </c>
      <c r="AA53" s="5">
        <f t="shared" si="3"/>
        <v>0</v>
      </c>
      <c r="AB53" s="5">
        <f t="shared" si="3"/>
        <v>0</v>
      </c>
      <c r="AC53" s="5">
        <f t="shared" si="3"/>
        <v>0</v>
      </c>
      <c r="AD53" s="5">
        <f t="shared" si="3"/>
        <v>0</v>
      </c>
      <c r="AE53" s="5">
        <f t="shared" si="3"/>
        <v>0</v>
      </c>
      <c r="AF53" s="5">
        <f t="shared" si="3"/>
        <v>0</v>
      </c>
      <c r="AG53" s="5">
        <f t="shared" si="3"/>
        <v>0</v>
      </c>
      <c r="AH53" s="5">
        <f t="shared" si="3"/>
        <v>0</v>
      </c>
      <c r="AJ53" s="5" cm="1">
        <f t="array" ref="AJ53">+SUM($C$39:$AH$39*C53:AH53)</f>
        <v>0.92592592592592582</v>
      </c>
      <c r="AK53" s="7">
        <f t="shared" si="2"/>
        <v>0.46296296296296291</v>
      </c>
      <c r="AL53" s="15">
        <f>+_xlfn.XLOOKUP('SRL Test'!AK53,'SRL Transition Model'!$E$4:$E$12,'SRL Transition Model'!$G$4:$G$12,,-1)</f>
        <v>6</v>
      </c>
    </row>
    <row r="54" spans="1:38" x14ac:dyDescent="0.35">
      <c r="A54" s="17"/>
      <c r="B54" t="s">
        <v>166</v>
      </c>
      <c r="C54" s="5">
        <f t="shared" si="1"/>
        <v>0</v>
      </c>
      <c r="D54" s="5">
        <f t="shared" si="3"/>
        <v>0</v>
      </c>
      <c r="E54" s="5">
        <f t="shared" si="3"/>
        <v>0.33333333333333331</v>
      </c>
      <c r="F54" s="5">
        <f t="shared" si="3"/>
        <v>0</v>
      </c>
      <c r="G54" s="5">
        <f t="shared" si="3"/>
        <v>0</v>
      </c>
      <c r="H54" s="5">
        <f t="shared" si="3"/>
        <v>0</v>
      </c>
      <c r="I54" s="5">
        <f t="shared" si="3"/>
        <v>0</v>
      </c>
      <c r="J54" s="5">
        <f t="shared" si="3"/>
        <v>0</v>
      </c>
      <c r="K54" s="5">
        <f t="shared" si="3"/>
        <v>0</v>
      </c>
      <c r="L54" s="5">
        <f t="shared" si="3"/>
        <v>0</v>
      </c>
      <c r="M54" s="5">
        <f t="shared" si="3"/>
        <v>0</v>
      </c>
      <c r="N54" s="5">
        <f t="shared" si="3"/>
        <v>0</v>
      </c>
      <c r="O54" s="5">
        <f t="shared" si="3"/>
        <v>0</v>
      </c>
      <c r="P54" s="5">
        <f t="shared" si="3"/>
        <v>0</v>
      </c>
      <c r="Q54" s="5">
        <f t="shared" si="3"/>
        <v>1</v>
      </c>
      <c r="R54" s="5">
        <f t="shared" si="3"/>
        <v>0</v>
      </c>
      <c r="S54" s="5">
        <f t="shared" si="3"/>
        <v>0</v>
      </c>
      <c r="T54" s="5">
        <f t="shared" si="3"/>
        <v>0</v>
      </c>
      <c r="U54" s="5">
        <f t="shared" si="3"/>
        <v>0</v>
      </c>
      <c r="V54" s="5">
        <f t="shared" si="3"/>
        <v>0</v>
      </c>
      <c r="W54" s="5">
        <f t="shared" si="3"/>
        <v>0</v>
      </c>
      <c r="X54" s="5">
        <f t="shared" si="3"/>
        <v>0</v>
      </c>
      <c r="Y54" s="5">
        <f t="shared" si="3"/>
        <v>0</v>
      </c>
      <c r="Z54" s="5">
        <f t="shared" si="3"/>
        <v>0</v>
      </c>
      <c r="AA54" s="5">
        <f t="shared" si="3"/>
        <v>0</v>
      </c>
      <c r="AB54" s="5">
        <f t="shared" si="3"/>
        <v>0</v>
      </c>
      <c r="AC54" s="5">
        <f t="shared" si="3"/>
        <v>0</v>
      </c>
      <c r="AD54" s="5">
        <f t="shared" si="3"/>
        <v>0</v>
      </c>
      <c r="AE54" s="5">
        <f t="shared" si="3"/>
        <v>0</v>
      </c>
      <c r="AF54" s="5">
        <f t="shared" si="3"/>
        <v>0</v>
      </c>
      <c r="AG54" s="5">
        <f t="shared" si="3"/>
        <v>0</v>
      </c>
      <c r="AH54" s="5">
        <f t="shared" si="3"/>
        <v>0</v>
      </c>
      <c r="AJ54" s="5" cm="1">
        <f t="array" ref="AJ54">+SUM($C$39:$AH$39*C54:AH54)</f>
        <v>0.92592592592592582</v>
      </c>
      <c r="AK54" s="7">
        <f t="shared" si="2"/>
        <v>0.46296296296296291</v>
      </c>
      <c r="AL54" s="15">
        <f>+_xlfn.XLOOKUP('SRL Test'!AK54,'SRL Transition Model'!$E$4:$E$12,'SRL Transition Model'!$G$4:$G$12,,-1)</f>
        <v>6</v>
      </c>
    </row>
    <row r="55" spans="1:38" x14ac:dyDescent="0.35">
      <c r="A55" s="17"/>
      <c r="B55" t="s">
        <v>167</v>
      </c>
      <c r="C55" s="5">
        <f t="shared" si="1"/>
        <v>0</v>
      </c>
      <c r="D55" s="5">
        <f t="shared" si="3"/>
        <v>0</v>
      </c>
      <c r="E55" s="5">
        <f t="shared" si="3"/>
        <v>0.33333333333333331</v>
      </c>
      <c r="F55" s="5">
        <f t="shared" si="3"/>
        <v>0</v>
      </c>
      <c r="G55" s="5">
        <f t="shared" si="3"/>
        <v>0</v>
      </c>
      <c r="H55" s="5">
        <f t="shared" si="3"/>
        <v>0</v>
      </c>
      <c r="I55" s="5">
        <f t="shared" si="3"/>
        <v>0</v>
      </c>
      <c r="J55" s="5">
        <f t="shared" si="3"/>
        <v>0</v>
      </c>
      <c r="K55" s="5">
        <f t="shared" si="3"/>
        <v>0</v>
      </c>
      <c r="L55" s="5">
        <f t="shared" si="3"/>
        <v>0</v>
      </c>
      <c r="M55" s="5">
        <f t="shared" si="3"/>
        <v>0</v>
      </c>
      <c r="N55" s="5">
        <f t="shared" si="3"/>
        <v>0</v>
      </c>
      <c r="O55" s="5">
        <f t="shared" si="3"/>
        <v>0</v>
      </c>
      <c r="P55" s="5">
        <f t="shared" si="3"/>
        <v>0</v>
      </c>
      <c r="Q55" s="5">
        <f t="shared" si="3"/>
        <v>0</v>
      </c>
      <c r="R55" s="5">
        <f t="shared" si="3"/>
        <v>1</v>
      </c>
      <c r="S55" s="5">
        <f t="shared" si="3"/>
        <v>0</v>
      </c>
      <c r="T55" s="5">
        <f t="shared" si="3"/>
        <v>0</v>
      </c>
      <c r="U55" s="5">
        <f t="shared" si="3"/>
        <v>0</v>
      </c>
      <c r="V55" s="5">
        <f t="shared" si="3"/>
        <v>0</v>
      </c>
      <c r="W55" s="5">
        <f t="shared" si="3"/>
        <v>0</v>
      </c>
      <c r="X55" s="5">
        <f t="shared" si="3"/>
        <v>0</v>
      </c>
      <c r="Y55" s="5">
        <f t="shared" si="3"/>
        <v>0</v>
      </c>
      <c r="Z55" s="5">
        <f t="shared" si="3"/>
        <v>0</v>
      </c>
      <c r="AA55" s="5">
        <f t="shared" si="3"/>
        <v>0</v>
      </c>
      <c r="AB55" s="5">
        <f t="shared" si="3"/>
        <v>0</v>
      </c>
      <c r="AC55" s="5">
        <f t="shared" si="3"/>
        <v>0</v>
      </c>
      <c r="AD55" s="5">
        <f t="shared" si="3"/>
        <v>0</v>
      </c>
      <c r="AE55" s="5">
        <f t="shared" si="3"/>
        <v>0</v>
      </c>
      <c r="AF55" s="5">
        <f t="shared" si="3"/>
        <v>0</v>
      </c>
      <c r="AG55" s="5">
        <f t="shared" ref="D55:AH64" si="4">1/9*AG19</f>
        <v>0</v>
      </c>
      <c r="AH55" s="5">
        <f t="shared" si="4"/>
        <v>0</v>
      </c>
      <c r="AJ55" s="5" cm="1">
        <f t="array" ref="AJ55">+SUM($C$39:$AH$39*C55:AH55)</f>
        <v>0.92592592592592582</v>
      </c>
      <c r="AK55" s="7">
        <f t="shared" si="2"/>
        <v>0.46296296296296291</v>
      </c>
      <c r="AL55" s="15">
        <f>+_xlfn.XLOOKUP('SRL Test'!AK55,'SRL Transition Model'!$E$4:$E$12,'SRL Transition Model'!$G$4:$G$12,,-1)</f>
        <v>6</v>
      </c>
    </row>
    <row r="56" spans="1:38" x14ac:dyDescent="0.35">
      <c r="A56" s="17"/>
      <c r="B56" t="s">
        <v>168</v>
      </c>
      <c r="C56" s="5">
        <f t="shared" si="1"/>
        <v>0</v>
      </c>
      <c r="D56" s="5">
        <f t="shared" si="4"/>
        <v>0</v>
      </c>
      <c r="E56" s="5">
        <f t="shared" si="4"/>
        <v>0</v>
      </c>
      <c r="F56" s="5">
        <f t="shared" si="4"/>
        <v>0</v>
      </c>
      <c r="G56" s="5">
        <f t="shared" si="4"/>
        <v>0</v>
      </c>
      <c r="H56" s="5">
        <f t="shared" si="4"/>
        <v>0</v>
      </c>
      <c r="I56" s="5">
        <f t="shared" si="4"/>
        <v>0</v>
      </c>
      <c r="J56" s="5">
        <f t="shared" si="4"/>
        <v>0</v>
      </c>
      <c r="K56" s="5">
        <f t="shared" si="4"/>
        <v>0</v>
      </c>
      <c r="L56" s="5">
        <f t="shared" si="4"/>
        <v>0</v>
      </c>
      <c r="M56" s="5">
        <f t="shared" si="4"/>
        <v>0</v>
      </c>
      <c r="N56" s="5">
        <f t="shared" si="4"/>
        <v>0</v>
      </c>
      <c r="O56" s="5">
        <f t="shared" si="4"/>
        <v>0</v>
      </c>
      <c r="P56" s="5">
        <f t="shared" si="4"/>
        <v>0</v>
      </c>
      <c r="Q56" s="5">
        <f t="shared" si="4"/>
        <v>0</v>
      </c>
      <c r="R56" s="5">
        <f t="shared" si="4"/>
        <v>0</v>
      </c>
      <c r="S56" s="5">
        <f t="shared" si="4"/>
        <v>1</v>
      </c>
      <c r="T56" s="5">
        <f t="shared" si="4"/>
        <v>0</v>
      </c>
      <c r="U56" s="5">
        <f t="shared" si="4"/>
        <v>0</v>
      </c>
      <c r="V56" s="5">
        <f t="shared" si="4"/>
        <v>0</v>
      </c>
      <c r="W56" s="5">
        <f t="shared" si="4"/>
        <v>0</v>
      </c>
      <c r="X56" s="5">
        <f t="shared" si="4"/>
        <v>0</v>
      </c>
      <c r="Y56" s="5">
        <f t="shared" si="4"/>
        <v>0</v>
      </c>
      <c r="Z56" s="5">
        <f t="shared" si="4"/>
        <v>0</v>
      </c>
      <c r="AA56" s="5">
        <f t="shared" si="4"/>
        <v>0</v>
      </c>
      <c r="AB56" s="5">
        <f t="shared" si="4"/>
        <v>0</v>
      </c>
      <c r="AC56" s="5">
        <f t="shared" si="4"/>
        <v>0</v>
      </c>
      <c r="AD56" s="5">
        <f t="shared" si="4"/>
        <v>0</v>
      </c>
      <c r="AE56" s="5">
        <f t="shared" si="4"/>
        <v>0</v>
      </c>
      <c r="AF56" s="5">
        <f t="shared" si="4"/>
        <v>0</v>
      </c>
      <c r="AG56" s="5">
        <f t="shared" si="4"/>
        <v>0</v>
      </c>
      <c r="AH56" s="5">
        <f t="shared" si="4"/>
        <v>0</v>
      </c>
      <c r="AJ56" s="5" cm="1">
        <f t="array" ref="AJ56">+SUM($C$39:$AH$39*C56:AH56)</f>
        <v>0.66666666666666663</v>
      </c>
      <c r="AK56" s="7">
        <f t="shared" si="2"/>
        <v>0.66666666666666663</v>
      </c>
      <c r="AL56" s="15">
        <f>+_xlfn.XLOOKUP('SRL Test'!AK56,'SRL Transition Model'!$E$4:$E$12,'SRL Transition Model'!$G$4:$G$12,,-1)</f>
        <v>7</v>
      </c>
    </row>
    <row r="57" spans="1:38" x14ac:dyDescent="0.35">
      <c r="A57" s="17"/>
      <c r="B57" t="s">
        <v>169</v>
      </c>
      <c r="C57" s="5">
        <f t="shared" si="1"/>
        <v>0</v>
      </c>
      <c r="D57" s="5">
        <f t="shared" si="4"/>
        <v>0</v>
      </c>
      <c r="E57" s="5">
        <f t="shared" si="4"/>
        <v>0</v>
      </c>
      <c r="F57" s="5">
        <f t="shared" si="4"/>
        <v>0</v>
      </c>
      <c r="G57" s="5">
        <f t="shared" si="4"/>
        <v>0</v>
      </c>
      <c r="H57" s="5">
        <f t="shared" si="4"/>
        <v>0</v>
      </c>
      <c r="I57" s="5">
        <f t="shared" si="4"/>
        <v>0</v>
      </c>
      <c r="J57" s="5">
        <f t="shared" si="4"/>
        <v>0</v>
      </c>
      <c r="K57" s="5">
        <f t="shared" si="4"/>
        <v>0</v>
      </c>
      <c r="L57" s="5">
        <f t="shared" si="4"/>
        <v>0</v>
      </c>
      <c r="M57" s="5">
        <f t="shared" si="4"/>
        <v>0</v>
      </c>
      <c r="N57" s="5">
        <f t="shared" si="4"/>
        <v>0</v>
      </c>
      <c r="O57" s="5">
        <f t="shared" si="4"/>
        <v>0</v>
      </c>
      <c r="P57" s="5">
        <f t="shared" si="4"/>
        <v>0</v>
      </c>
      <c r="Q57" s="5">
        <f t="shared" si="4"/>
        <v>0.44444444444444442</v>
      </c>
      <c r="R57" s="5">
        <f t="shared" si="4"/>
        <v>0</v>
      </c>
      <c r="S57" s="5">
        <f t="shared" si="4"/>
        <v>0</v>
      </c>
      <c r="T57" s="5">
        <f t="shared" si="4"/>
        <v>1</v>
      </c>
      <c r="U57" s="5">
        <f t="shared" si="4"/>
        <v>0</v>
      </c>
      <c r="V57" s="5">
        <f t="shared" si="4"/>
        <v>0</v>
      </c>
      <c r="W57" s="5">
        <f t="shared" si="4"/>
        <v>0</v>
      </c>
      <c r="X57" s="5">
        <f t="shared" si="4"/>
        <v>0</v>
      </c>
      <c r="Y57" s="5">
        <f t="shared" si="4"/>
        <v>0</v>
      </c>
      <c r="Z57" s="5">
        <f t="shared" si="4"/>
        <v>0</v>
      </c>
      <c r="AA57" s="5">
        <f t="shared" si="4"/>
        <v>0</v>
      </c>
      <c r="AB57" s="5">
        <f t="shared" si="4"/>
        <v>0</v>
      </c>
      <c r="AC57" s="5">
        <f t="shared" si="4"/>
        <v>0</v>
      </c>
      <c r="AD57" s="5">
        <f t="shared" si="4"/>
        <v>0</v>
      </c>
      <c r="AE57" s="5">
        <f t="shared" si="4"/>
        <v>0</v>
      </c>
      <c r="AF57" s="5">
        <f t="shared" si="4"/>
        <v>0</v>
      </c>
      <c r="AG57" s="5">
        <f t="shared" si="4"/>
        <v>0</v>
      </c>
      <c r="AH57" s="5">
        <f t="shared" si="4"/>
        <v>0</v>
      </c>
      <c r="AJ57" s="5" cm="1">
        <f t="array" ref="AJ57">+SUM($C$39:$AH$39*C57:AH57)</f>
        <v>0.96296296296296291</v>
      </c>
      <c r="AK57" s="7">
        <f t="shared" si="2"/>
        <v>0.48148148148148145</v>
      </c>
      <c r="AL57" s="15">
        <f>+_xlfn.XLOOKUP('SRL Test'!AK57,'SRL Transition Model'!$E$4:$E$12,'SRL Transition Model'!$G$4:$G$12,,-1)</f>
        <v>6</v>
      </c>
    </row>
    <row r="58" spans="1:38" x14ac:dyDescent="0.35">
      <c r="A58" s="17"/>
      <c r="B58" t="s">
        <v>170</v>
      </c>
      <c r="C58" s="5">
        <f t="shared" si="1"/>
        <v>0</v>
      </c>
      <c r="D58" s="5">
        <f t="shared" si="4"/>
        <v>0</v>
      </c>
      <c r="E58" s="5">
        <f t="shared" si="4"/>
        <v>0.44444444444444442</v>
      </c>
      <c r="F58" s="5">
        <f t="shared" si="4"/>
        <v>0</v>
      </c>
      <c r="G58" s="5">
        <f t="shared" si="4"/>
        <v>0</v>
      </c>
      <c r="H58" s="5">
        <f t="shared" si="4"/>
        <v>0</v>
      </c>
      <c r="I58" s="5">
        <f t="shared" si="4"/>
        <v>0</v>
      </c>
      <c r="J58" s="5">
        <f t="shared" si="4"/>
        <v>0</v>
      </c>
      <c r="K58" s="5">
        <f t="shared" si="4"/>
        <v>0</v>
      </c>
      <c r="L58" s="5">
        <f t="shared" si="4"/>
        <v>0</v>
      </c>
      <c r="M58" s="5">
        <f t="shared" si="4"/>
        <v>0</v>
      </c>
      <c r="N58" s="5">
        <f t="shared" si="4"/>
        <v>0</v>
      </c>
      <c r="O58" s="5">
        <f t="shared" si="4"/>
        <v>0</v>
      </c>
      <c r="P58" s="5">
        <f t="shared" si="4"/>
        <v>0</v>
      </c>
      <c r="Q58" s="5">
        <f t="shared" si="4"/>
        <v>0</v>
      </c>
      <c r="R58" s="5">
        <f t="shared" si="4"/>
        <v>0</v>
      </c>
      <c r="S58" s="5">
        <f t="shared" si="4"/>
        <v>0</v>
      </c>
      <c r="T58" s="5">
        <f t="shared" si="4"/>
        <v>0</v>
      </c>
      <c r="U58" s="5">
        <f t="shared" si="4"/>
        <v>1</v>
      </c>
      <c r="V58" s="5">
        <f t="shared" si="4"/>
        <v>0</v>
      </c>
      <c r="W58" s="5">
        <f t="shared" si="4"/>
        <v>0</v>
      </c>
      <c r="X58" s="5">
        <f t="shared" si="4"/>
        <v>0</v>
      </c>
      <c r="Y58" s="5">
        <f t="shared" si="4"/>
        <v>0</v>
      </c>
      <c r="Z58" s="5">
        <f t="shared" si="4"/>
        <v>0</v>
      </c>
      <c r="AA58" s="5">
        <f t="shared" si="4"/>
        <v>0</v>
      </c>
      <c r="AB58" s="5">
        <f t="shared" si="4"/>
        <v>0</v>
      </c>
      <c r="AC58" s="5">
        <f t="shared" si="4"/>
        <v>0</v>
      </c>
      <c r="AD58" s="5">
        <f t="shared" si="4"/>
        <v>0</v>
      </c>
      <c r="AE58" s="5">
        <f t="shared" si="4"/>
        <v>0</v>
      </c>
      <c r="AF58" s="5">
        <f t="shared" si="4"/>
        <v>0</v>
      </c>
      <c r="AG58" s="5">
        <f t="shared" si="4"/>
        <v>0</v>
      </c>
      <c r="AH58" s="5">
        <f t="shared" si="4"/>
        <v>0</v>
      </c>
      <c r="AJ58" s="5" cm="1">
        <f t="array" ref="AJ58">+SUM($C$39:$AH$39*C58:AH58)</f>
        <v>1.0123456790123455</v>
      </c>
      <c r="AK58" s="7">
        <f t="shared" si="2"/>
        <v>0.50617283950617276</v>
      </c>
      <c r="AL58" s="15">
        <f>+_xlfn.XLOOKUP('SRL Test'!AK58,'SRL Transition Model'!$E$4:$E$12,'SRL Transition Model'!$G$4:$G$12,,-1)</f>
        <v>6</v>
      </c>
    </row>
    <row r="59" spans="1:38" x14ac:dyDescent="0.35">
      <c r="A59" s="17"/>
      <c r="B59" t="s">
        <v>171</v>
      </c>
      <c r="C59" s="5">
        <f t="shared" si="1"/>
        <v>0</v>
      </c>
      <c r="D59" s="5">
        <f t="shared" si="4"/>
        <v>0</v>
      </c>
      <c r="E59" s="5">
        <f t="shared" si="4"/>
        <v>0.44444444444444442</v>
      </c>
      <c r="F59" s="5">
        <f t="shared" si="4"/>
        <v>0</v>
      </c>
      <c r="G59" s="5">
        <f t="shared" si="4"/>
        <v>0</v>
      </c>
      <c r="H59" s="5">
        <f t="shared" si="4"/>
        <v>0</v>
      </c>
      <c r="I59" s="5">
        <f t="shared" si="4"/>
        <v>0</v>
      </c>
      <c r="J59" s="5">
        <f t="shared" si="4"/>
        <v>0</v>
      </c>
      <c r="K59" s="5">
        <f t="shared" si="4"/>
        <v>0</v>
      </c>
      <c r="L59" s="5">
        <f t="shared" si="4"/>
        <v>0</v>
      </c>
      <c r="M59" s="5">
        <f t="shared" si="4"/>
        <v>0</v>
      </c>
      <c r="N59" s="5">
        <f t="shared" si="4"/>
        <v>0</v>
      </c>
      <c r="O59" s="5">
        <f t="shared" si="4"/>
        <v>0</v>
      </c>
      <c r="P59" s="5">
        <f t="shared" si="4"/>
        <v>0</v>
      </c>
      <c r="Q59" s="5">
        <f t="shared" si="4"/>
        <v>0</v>
      </c>
      <c r="R59" s="5">
        <f t="shared" si="4"/>
        <v>0</v>
      </c>
      <c r="S59" s="5">
        <f t="shared" si="4"/>
        <v>0</v>
      </c>
      <c r="T59" s="5">
        <f t="shared" si="4"/>
        <v>0</v>
      </c>
      <c r="U59" s="5">
        <f t="shared" si="4"/>
        <v>0</v>
      </c>
      <c r="V59" s="5">
        <f t="shared" si="4"/>
        <v>1</v>
      </c>
      <c r="W59" s="5">
        <f t="shared" si="4"/>
        <v>0</v>
      </c>
      <c r="X59" s="5">
        <f t="shared" si="4"/>
        <v>0</v>
      </c>
      <c r="Y59" s="5">
        <f t="shared" si="4"/>
        <v>0</v>
      </c>
      <c r="Z59" s="5">
        <f t="shared" si="4"/>
        <v>0</v>
      </c>
      <c r="AA59" s="5">
        <f t="shared" si="4"/>
        <v>0</v>
      </c>
      <c r="AB59" s="5">
        <f t="shared" si="4"/>
        <v>0</v>
      </c>
      <c r="AC59" s="5">
        <f t="shared" si="4"/>
        <v>0</v>
      </c>
      <c r="AD59" s="5">
        <f t="shared" si="4"/>
        <v>0</v>
      </c>
      <c r="AE59" s="5">
        <f t="shared" si="4"/>
        <v>0</v>
      </c>
      <c r="AF59" s="5">
        <f t="shared" si="4"/>
        <v>0</v>
      </c>
      <c r="AG59" s="5">
        <f t="shared" si="4"/>
        <v>0</v>
      </c>
      <c r="AH59" s="5">
        <f t="shared" si="4"/>
        <v>0</v>
      </c>
      <c r="AJ59" s="5" cm="1">
        <f t="array" ref="AJ59">+SUM($C$39:$AH$39*C59:AH59)</f>
        <v>0.90123456790123457</v>
      </c>
      <c r="AK59" s="7">
        <f t="shared" si="2"/>
        <v>0.45061728395061729</v>
      </c>
      <c r="AL59" s="15">
        <f>+_xlfn.XLOOKUP('SRL Test'!AK59,'SRL Transition Model'!$E$4:$E$12,'SRL Transition Model'!$G$4:$G$12,,-1)</f>
        <v>6</v>
      </c>
    </row>
    <row r="60" spans="1:38" x14ac:dyDescent="0.35">
      <c r="A60" s="17"/>
      <c r="B60" t="s">
        <v>172</v>
      </c>
      <c r="C60" s="5">
        <f t="shared" si="1"/>
        <v>0</v>
      </c>
      <c r="D60" s="5">
        <f t="shared" si="4"/>
        <v>0</v>
      </c>
      <c r="E60" s="5">
        <f t="shared" si="4"/>
        <v>0</v>
      </c>
      <c r="F60" s="5">
        <f t="shared" si="4"/>
        <v>0</v>
      </c>
      <c r="G60" s="5">
        <f t="shared" si="4"/>
        <v>0</v>
      </c>
      <c r="H60" s="5">
        <f t="shared" si="4"/>
        <v>0</v>
      </c>
      <c r="I60" s="5">
        <f t="shared" si="4"/>
        <v>0</v>
      </c>
      <c r="J60" s="5">
        <f t="shared" si="4"/>
        <v>0</v>
      </c>
      <c r="K60" s="5">
        <f t="shared" si="4"/>
        <v>0</v>
      </c>
      <c r="L60" s="5">
        <f t="shared" si="4"/>
        <v>0</v>
      </c>
      <c r="M60" s="5">
        <f t="shared" si="4"/>
        <v>0</v>
      </c>
      <c r="N60" s="5">
        <f t="shared" si="4"/>
        <v>0</v>
      </c>
      <c r="O60" s="5">
        <f t="shared" si="4"/>
        <v>0</v>
      </c>
      <c r="P60" s="5">
        <f t="shared" si="4"/>
        <v>0</v>
      </c>
      <c r="Q60" s="5">
        <f t="shared" si="4"/>
        <v>0</v>
      </c>
      <c r="R60" s="5">
        <f t="shared" si="4"/>
        <v>0</v>
      </c>
      <c r="S60" s="5">
        <f t="shared" si="4"/>
        <v>0</v>
      </c>
      <c r="T60" s="5">
        <f t="shared" si="4"/>
        <v>0</v>
      </c>
      <c r="U60" s="5">
        <f t="shared" si="4"/>
        <v>0</v>
      </c>
      <c r="V60" s="5">
        <f t="shared" si="4"/>
        <v>0</v>
      </c>
      <c r="W60" s="5">
        <f t="shared" si="4"/>
        <v>1</v>
      </c>
      <c r="X60" s="5">
        <f t="shared" si="4"/>
        <v>0</v>
      </c>
      <c r="Y60" s="5">
        <f t="shared" si="4"/>
        <v>0</v>
      </c>
      <c r="Z60" s="5">
        <f t="shared" si="4"/>
        <v>0</v>
      </c>
      <c r="AA60" s="5">
        <f t="shared" si="4"/>
        <v>0.33333333333333331</v>
      </c>
      <c r="AB60" s="5">
        <f t="shared" si="4"/>
        <v>0</v>
      </c>
      <c r="AC60" s="5">
        <f t="shared" si="4"/>
        <v>0</v>
      </c>
      <c r="AD60" s="5">
        <f t="shared" si="4"/>
        <v>0</v>
      </c>
      <c r="AE60" s="5">
        <f t="shared" si="4"/>
        <v>0</v>
      </c>
      <c r="AF60" s="5">
        <f t="shared" si="4"/>
        <v>0</v>
      </c>
      <c r="AG60" s="5">
        <f t="shared" si="4"/>
        <v>0</v>
      </c>
      <c r="AH60" s="5">
        <f t="shared" si="4"/>
        <v>0</v>
      </c>
      <c r="AJ60" s="5" cm="1">
        <f t="array" ref="AJ60">+SUM($C$39:$AH$39*C60:AH60)</f>
        <v>0.7407407407407407</v>
      </c>
      <c r="AK60" s="7">
        <f t="shared" si="2"/>
        <v>0.37037037037037035</v>
      </c>
      <c r="AL60" s="15">
        <f>+_xlfn.XLOOKUP('SRL Test'!AK60,'SRL Transition Model'!$E$4:$E$12,'SRL Transition Model'!$G$4:$G$12,,-1)</f>
        <v>5</v>
      </c>
    </row>
    <row r="61" spans="1:38" x14ac:dyDescent="0.35">
      <c r="A61" s="17"/>
      <c r="B61" t="s">
        <v>173</v>
      </c>
      <c r="C61" s="5">
        <f t="shared" si="1"/>
        <v>0</v>
      </c>
      <c r="D61" s="5">
        <f t="shared" si="4"/>
        <v>0</v>
      </c>
      <c r="E61" s="5">
        <f t="shared" si="4"/>
        <v>0</v>
      </c>
      <c r="F61" s="5">
        <f t="shared" si="4"/>
        <v>0</v>
      </c>
      <c r="G61" s="5">
        <f t="shared" si="4"/>
        <v>0</v>
      </c>
      <c r="H61" s="5">
        <f t="shared" si="4"/>
        <v>0</v>
      </c>
      <c r="I61" s="5">
        <f t="shared" si="4"/>
        <v>0</v>
      </c>
      <c r="J61" s="5">
        <f t="shared" si="4"/>
        <v>0</v>
      </c>
      <c r="K61" s="5">
        <f t="shared" si="4"/>
        <v>0</v>
      </c>
      <c r="L61" s="5">
        <f t="shared" si="4"/>
        <v>0</v>
      </c>
      <c r="M61" s="5">
        <f t="shared" si="4"/>
        <v>0</v>
      </c>
      <c r="N61" s="5">
        <f t="shared" si="4"/>
        <v>0</v>
      </c>
      <c r="O61" s="5">
        <f t="shared" si="4"/>
        <v>0</v>
      </c>
      <c r="P61" s="5">
        <f t="shared" si="4"/>
        <v>0</v>
      </c>
      <c r="Q61" s="5">
        <f t="shared" si="4"/>
        <v>0</v>
      </c>
      <c r="R61" s="5">
        <f t="shared" si="4"/>
        <v>0</v>
      </c>
      <c r="S61" s="5">
        <f t="shared" si="4"/>
        <v>0</v>
      </c>
      <c r="T61" s="5">
        <f t="shared" si="4"/>
        <v>0</v>
      </c>
      <c r="U61" s="5">
        <f t="shared" si="4"/>
        <v>0</v>
      </c>
      <c r="V61" s="5">
        <f t="shared" si="4"/>
        <v>0</v>
      </c>
      <c r="W61" s="5">
        <f t="shared" si="4"/>
        <v>0</v>
      </c>
      <c r="X61" s="5">
        <f t="shared" si="4"/>
        <v>1</v>
      </c>
      <c r="Y61" s="5">
        <f t="shared" si="4"/>
        <v>0</v>
      </c>
      <c r="Z61" s="5">
        <f t="shared" si="4"/>
        <v>0</v>
      </c>
      <c r="AA61" s="5">
        <f t="shared" si="4"/>
        <v>0.44444444444444442</v>
      </c>
      <c r="AB61" s="5">
        <f t="shared" si="4"/>
        <v>0</v>
      </c>
      <c r="AC61" s="5">
        <f t="shared" si="4"/>
        <v>0</v>
      </c>
      <c r="AD61" s="5">
        <f t="shared" si="4"/>
        <v>0</v>
      </c>
      <c r="AE61" s="5">
        <f t="shared" si="4"/>
        <v>0</v>
      </c>
      <c r="AF61" s="5">
        <f t="shared" si="4"/>
        <v>0</v>
      </c>
      <c r="AG61" s="5">
        <f t="shared" si="4"/>
        <v>0</v>
      </c>
      <c r="AH61" s="5">
        <f t="shared" si="4"/>
        <v>0</v>
      </c>
      <c r="AJ61" s="5" cm="1">
        <f t="array" ref="AJ61">+SUM($C$39:$AH$39*C61:AH61)</f>
        <v>0.80246913580246915</v>
      </c>
      <c r="AK61" s="7">
        <f t="shared" si="2"/>
        <v>0.40123456790123457</v>
      </c>
      <c r="AL61" s="15">
        <f>+_xlfn.XLOOKUP('SRL Test'!AK61,'SRL Transition Model'!$E$4:$E$12,'SRL Transition Model'!$G$4:$G$12,,-1)</f>
        <v>6</v>
      </c>
    </row>
    <row r="62" spans="1:38" x14ac:dyDescent="0.35">
      <c r="A62" s="17"/>
      <c r="B62" t="s">
        <v>174</v>
      </c>
      <c r="C62" s="5">
        <f t="shared" si="1"/>
        <v>0</v>
      </c>
      <c r="D62" s="5">
        <f t="shared" si="4"/>
        <v>0</v>
      </c>
      <c r="E62" s="5">
        <f t="shared" si="4"/>
        <v>0</v>
      </c>
      <c r="F62" s="5">
        <f t="shared" si="4"/>
        <v>0</v>
      </c>
      <c r="G62" s="5">
        <f t="shared" si="4"/>
        <v>0</v>
      </c>
      <c r="H62" s="5">
        <f t="shared" si="4"/>
        <v>0</v>
      </c>
      <c r="I62" s="5">
        <f t="shared" si="4"/>
        <v>0</v>
      </c>
      <c r="J62" s="5">
        <f t="shared" si="4"/>
        <v>0</v>
      </c>
      <c r="K62" s="5">
        <f t="shared" si="4"/>
        <v>0</v>
      </c>
      <c r="L62" s="5">
        <f t="shared" si="4"/>
        <v>0</v>
      </c>
      <c r="M62" s="5">
        <f t="shared" si="4"/>
        <v>0</v>
      </c>
      <c r="N62" s="5">
        <f t="shared" si="4"/>
        <v>0</v>
      </c>
      <c r="O62" s="5">
        <f t="shared" si="4"/>
        <v>0</v>
      </c>
      <c r="P62" s="5">
        <f t="shared" si="4"/>
        <v>0</v>
      </c>
      <c r="Q62" s="5">
        <f t="shared" si="4"/>
        <v>0</v>
      </c>
      <c r="R62" s="5">
        <f t="shared" si="4"/>
        <v>0</v>
      </c>
      <c r="S62" s="5">
        <f t="shared" si="4"/>
        <v>0</v>
      </c>
      <c r="T62" s="5">
        <f t="shared" si="4"/>
        <v>0</v>
      </c>
      <c r="U62" s="5">
        <f t="shared" si="4"/>
        <v>0</v>
      </c>
      <c r="V62" s="5">
        <f t="shared" si="4"/>
        <v>0</v>
      </c>
      <c r="W62" s="5">
        <f t="shared" si="4"/>
        <v>0</v>
      </c>
      <c r="X62" s="5">
        <f t="shared" si="4"/>
        <v>0</v>
      </c>
      <c r="Y62" s="5">
        <f t="shared" si="4"/>
        <v>1</v>
      </c>
      <c r="Z62" s="5">
        <f t="shared" si="4"/>
        <v>0</v>
      </c>
      <c r="AA62" s="5">
        <f t="shared" si="4"/>
        <v>0.44444444444444442</v>
      </c>
      <c r="AB62" s="5">
        <f t="shared" si="4"/>
        <v>0</v>
      </c>
      <c r="AC62" s="5">
        <f t="shared" si="4"/>
        <v>0</v>
      </c>
      <c r="AD62" s="5">
        <f t="shared" si="4"/>
        <v>0</v>
      </c>
      <c r="AE62" s="5">
        <f t="shared" si="4"/>
        <v>0</v>
      </c>
      <c r="AF62" s="5">
        <f t="shared" si="4"/>
        <v>0</v>
      </c>
      <c r="AG62" s="5">
        <f t="shared" si="4"/>
        <v>0</v>
      </c>
      <c r="AH62" s="5">
        <f t="shared" si="4"/>
        <v>0</v>
      </c>
      <c r="AJ62" s="5" cm="1">
        <f t="array" ref="AJ62">+SUM($C$39:$AH$39*C62:AH62)</f>
        <v>0.80246913580246915</v>
      </c>
      <c r="AK62" s="7">
        <f t="shared" si="2"/>
        <v>0.40123456790123457</v>
      </c>
      <c r="AL62" s="15">
        <f>+_xlfn.XLOOKUP('SRL Test'!AK62,'SRL Transition Model'!$E$4:$E$12,'SRL Transition Model'!$G$4:$G$12,,-1)</f>
        <v>6</v>
      </c>
    </row>
    <row r="63" spans="1:38" x14ac:dyDescent="0.35">
      <c r="A63" s="17"/>
      <c r="B63" t="s">
        <v>175</v>
      </c>
      <c r="C63" s="5">
        <f t="shared" si="1"/>
        <v>0</v>
      </c>
      <c r="D63" s="5">
        <f t="shared" si="4"/>
        <v>0</v>
      </c>
      <c r="E63" s="5">
        <f t="shared" si="4"/>
        <v>0</v>
      </c>
      <c r="F63" s="5">
        <f t="shared" si="4"/>
        <v>0</v>
      </c>
      <c r="G63" s="5">
        <f t="shared" si="4"/>
        <v>0</v>
      </c>
      <c r="H63" s="5">
        <f t="shared" si="4"/>
        <v>0</v>
      </c>
      <c r="I63" s="5">
        <f t="shared" si="4"/>
        <v>0</v>
      </c>
      <c r="J63" s="5">
        <f t="shared" si="4"/>
        <v>0</v>
      </c>
      <c r="K63" s="5">
        <f t="shared" si="4"/>
        <v>0</v>
      </c>
      <c r="L63" s="5">
        <f t="shared" si="4"/>
        <v>0</v>
      </c>
      <c r="M63" s="5">
        <f t="shared" si="4"/>
        <v>0</v>
      </c>
      <c r="N63" s="5">
        <f t="shared" si="4"/>
        <v>0</v>
      </c>
      <c r="O63" s="5">
        <f t="shared" si="4"/>
        <v>0</v>
      </c>
      <c r="P63" s="5">
        <f t="shared" si="4"/>
        <v>0</v>
      </c>
      <c r="Q63" s="5">
        <f t="shared" si="4"/>
        <v>0</v>
      </c>
      <c r="R63" s="5">
        <f t="shared" si="4"/>
        <v>0</v>
      </c>
      <c r="S63" s="5">
        <f t="shared" si="4"/>
        <v>0</v>
      </c>
      <c r="T63" s="5">
        <f t="shared" si="4"/>
        <v>0</v>
      </c>
      <c r="U63" s="5">
        <f t="shared" si="4"/>
        <v>0</v>
      </c>
      <c r="V63" s="5">
        <f t="shared" si="4"/>
        <v>0</v>
      </c>
      <c r="W63" s="5">
        <f t="shared" si="4"/>
        <v>0</v>
      </c>
      <c r="X63" s="5">
        <f t="shared" si="4"/>
        <v>0</v>
      </c>
      <c r="Y63" s="5">
        <f t="shared" si="4"/>
        <v>0</v>
      </c>
      <c r="Z63" s="5">
        <f t="shared" si="4"/>
        <v>1</v>
      </c>
      <c r="AA63" s="5">
        <f t="shared" si="4"/>
        <v>0.44444444444444442</v>
      </c>
      <c r="AB63" s="5">
        <f t="shared" si="4"/>
        <v>0</v>
      </c>
      <c r="AC63" s="5">
        <f t="shared" si="4"/>
        <v>0</v>
      </c>
      <c r="AD63" s="5">
        <f t="shared" si="4"/>
        <v>0</v>
      </c>
      <c r="AE63" s="5">
        <f t="shared" si="4"/>
        <v>0</v>
      </c>
      <c r="AF63" s="5">
        <f t="shared" si="4"/>
        <v>0</v>
      </c>
      <c r="AG63" s="5">
        <f t="shared" si="4"/>
        <v>0</v>
      </c>
      <c r="AH63" s="5">
        <f t="shared" si="4"/>
        <v>0</v>
      </c>
      <c r="AJ63" s="5" cm="1">
        <f t="array" ref="AJ63">+SUM($C$39:$AH$39*C63:AH63)</f>
        <v>0.80246913580246915</v>
      </c>
      <c r="AK63" s="7">
        <f t="shared" si="2"/>
        <v>0.40123456790123457</v>
      </c>
      <c r="AL63" s="15">
        <f>+_xlfn.XLOOKUP('SRL Test'!AK63,'SRL Transition Model'!$E$4:$E$12,'SRL Transition Model'!$G$4:$G$12,,-1)</f>
        <v>6</v>
      </c>
    </row>
    <row r="64" spans="1:38" x14ac:dyDescent="0.35">
      <c r="A64" s="17"/>
      <c r="B64" t="s">
        <v>176</v>
      </c>
      <c r="C64" s="5">
        <f t="shared" si="1"/>
        <v>0</v>
      </c>
      <c r="D64" s="5">
        <f t="shared" si="4"/>
        <v>0</v>
      </c>
      <c r="E64" s="5">
        <f t="shared" si="4"/>
        <v>0</v>
      </c>
      <c r="F64" s="5">
        <f t="shared" si="4"/>
        <v>0</v>
      </c>
      <c r="G64" s="5">
        <f t="shared" si="4"/>
        <v>0</v>
      </c>
      <c r="H64" s="5">
        <f t="shared" si="4"/>
        <v>0</v>
      </c>
      <c r="I64" s="5">
        <f t="shared" ref="D64:AH71" si="5">1/9*I28</f>
        <v>0</v>
      </c>
      <c r="J64" s="5">
        <f t="shared" si="5"/>
        <v>0</v>
      </c>
      <c r="K64" s="5">
        <f t="shared" si="5"/>
        <v>0</v>
      </c>
      <c r="L64" s="5">
        <f t="shared" si="5"/>
        <v>0</v>
      </c>
      <c r="M64" s="5">
        <f t="shared" si="5"/>
        <v>0</v>
      </c>
      <c r="N64" s="5">
        <f t="shared" si="5"/>
        <v>0</v>
      </c>
      <c r="O64" s="5">
        <f t="shared" si="5"/>
        <v>0</v>
      </c>
      <c r="P64" s="5">
        <f t="shared" si="5"/>
        <v>0</v>
      </c>
      <c r="Q64" s="5">
        <f t="shared" si="5"/>
        <v>0</v>
      </c>
      <c r="R64" s="5">
        <f t="shared" si="5"/>
        <v>0</v>
      </c>
      <c r="S64" s="5">
        <f t="shared" si="5"/>
        <v>0</v>
      </c>
      <c r="T64" s="5">
        <f t="shared" si="5"/>
        <v>0</v>
      </c>
      <c r="U64" s="5">
        <f t="shared" si="5"/>
        <v>0</v>
      </c>
      <c r="V64" s="5">
        <f t="shared" si="5"/>
        <v>0</v>
      </c>
      <c r="W64" s="5">
        <f t="shared" si="5"/>
        <v>0</v>
      </c>
      <c r="X64" s="5">
        <f t="shared" si="5"/>
        <v>0</v>
      </c>
      <c r="Y64" s="5">
        <f t="shared" si="5"/>
        <v>0</v>
      </c>
      <c r="Z64" s="5">
        <f t="shared" si="5"/>
        <v>0.33333333333333331</v>
      </c>
      <c r="AA64" s="5">
        <f t="shared" si="5"/>
        <v>1</v>
      </c>
      <c r="AB64" s="5">
        <f t="shared" si="5"/>
        <v>0.33333333333333331</v>
      </c>
      <c r="AC64" s="5">
        <f t="shared" si="5"/>
        <v>0</v>
      </c>
      <c r="AD64" s="5">
        <f t="shared" si="5"/>
        <v>0</v>
      </c>
      <c r="AE64" s="5">
        <f t="shared" si="5"/>
        <v>0</v>
      </c>
      <c r="AF64" s="5">
        <f t="shared" si="5"/>
        <v>0</v>
      </c>
      <c r="AG64" s="5">
        <f t="shared" si="5"/>
        <v>0</v>
      </c>
      <c r="AH64" s="5">
        <f t="shared" si="5"/>
        <v>0</v>
      </c>
      <c r="AJ64" s="5" cm="1">
        <f t="array" ref="AJ64">+SUM($C$39:$AH$39*C64:AH64)</f>
        <v>0.92592592592592582</v>
      </c>
      <c r="AK64" s="7">
        <f t="shared" si="2"/>
        <v>0.30864197530864196</v>
      </c>
      <c r="AL64" s="15">
        <f>+_xlfn.XLOOKUP('SRL Test'!AK64,'SRL Transition Model'!$E$4:$E$12,'SRL Transition Model'!$G$4:$G$12,,-1)</f>
        <v>5</v>
      </c>
    </row>
    <row r="65" spans="1:38" x14ac:dyDescent="0.35">
      <c r="A65" s="17"/>
      <c r="B65" t="s">
        <v>177</v>
      </c>
      <c r="C65" s="5">
        <f t="shared" si="1"/>
        <v>0</v>
      </c>
      <c r="D65" s="5">
        <f t="shared" si="5"/>
        <v>0</v>
      </c>
      <c r="E65" s="5">
        <f t="shared" si="5"/>
        <v>0</v>
      </c>
      <c r="F65" s="5">
        <f t="shared" si="5"/>
        <v>0</v>
      </c>
      <c r="G65" s="5">
        <f t="shared" si="5"/>
        <v>0</v>
      </c>
      <c r="H65" s="5">
        <f t="shared" si="5"/>
        <v>0</v>
      </c>
      <c r="I65" s="5">
        <f t="shared" si="5"/>
        <v>0</v>
      </c>
      <c r="J65" s="5">
        <f t="shared" si="5"/>
        <v>0</v>
      </c>
      <c r="K65" s="5">
        <f t="shared" si="5"/>
        <v>0</v>
      </c>
      <c r="L65" s="5">
        <f t="shared" si="5"/>
        <v>0</v>
      </c>
      <c r="M65" s="5">
        <f t="shared" si="5"/>
        <v>0</v>
      </c>
      <c r="N65" s="5">
        <f t="shared" si="5"/>
        <v>0</v>
      </c>
      <c r="O65" s="5">
        <f t="shared" si="5"/>
        <v>0</v>
      </c>
      <c r="P65" s="5">
        <f t="shared" si="5"/>
        <v>0</v>
      </c>
      <c r="Q65" s="5">
        <f t="shared" si="5"/>
        <v>0</v>
      </c>
      <c r="R65" s="5">
        <f t="shared" si="5"/>
        <v>0</v>
      </c>
      <c r="S65" s="5">
        <f t="shared" si="5"/>
        <v>0</v>
      </c>
      <c r="T65" s="5">
        <f t="shared" si="5"/>
        <v>0</v>
      </c>
      <c r="U65" s="5">
        <f t="shared" si="5"/>
        <v>0</v>
      </c>
      <c r="V65" s="5">
        <f t="shared" si="5"/>
        <v>0</v>
      </c>
      <c r="W65" s="5">
        <f t="shared" si="5"/>
        <v>0</v>
      </c>
      <c r="X65" s="5">
        <f t="shared" si="5"/>
        <v>0</v>
      </c>
      <c r="Y65" s="5">
        <f t="shared" si="5"/>
        <v>0</v>
      </c>
      <c r="Z65" s="5">
        <f t="shared" si="5"/>
        <v>0</v>
      </c>
      <c r="AA65" s="5">
        <f t="shared" si="5"/>
        <v>0.44444444444444442</v>
      </c>
      <c r="AB65" s="5">
        <f t="shared" si="5"/>
        <v>1</v>
      </c>
      <c r="AC65" s="5">
        <f t="shared" si="5"/>
        <v>0</v>
      </c>
      <c r="AD65" s="5">
        <f t="shared" si="5"/>
        <v>0</v>
      </c>
      <c r="AE65" s="5">
        <f t="shared" si="5"/>
        <v>0</v>
      </c>
      <c r="AF65" s="5">
        <f t="shared" si="5"/>
        <v>0</v>
      </c>
      <c r="AG65" s="5">
        <f t="shared" si="5"/>
        <v>0</v>
      </c>
      <c r="AH65" s="5">
        <f t="shared" si="5"/>
        <v>0</v>
      </c>
      <c r="AJ65" s="5" cm="1">
        <f t="array" ref="AJ65">+SUM($C$39:$AH$39*C65:AH65)</f>
        <v>0.80246913580246915</v>
      </c>
      <c r="AK65" s="7">
        <f t="shared" si="2"/>
        <v>0.40123456790123457</v>
      </c>
      <c r="AL65" s="15">
        <f>+_xlfn.XLOOKUP('SRL Test'!AK65,'SRL Transition Model'!$E$4:$E$12,'SRL Transition Model'!$G$4:$G$12,,-1)</f>
        <v>6</v>
      </c>
    </row>
    <row r="66" spans="1:38" x14ac:dyDescent="0.35">
      <c r="A66" s="17"/>
      <c r="B66" t="s">
        <v>178</v>
      </c>
      <c r="C66" s="5">
        <f t="shared" si="1"/>
        <v>0</v>
      </c>
      <c r="D66" s="5">
        <f t="shared" si="5"/>
        <v>0</v>
      </c>
      <c r="E66" s="5">
        <f t="shared" si="5"/>
        <v>0</v>
      </c>
      <c r="F66" s="5">
        <f t="shared" si="5"/>
        <v>0</v>
      </c>
      <c r="G66" s="5">
        <f t="shared" si="5"/>
        <v>0</v>
      </c>
      <c r="H66" s="5">
        <f t="shared" si="5"/>
        <v>0</v>
      </c>
      <c r="I66" s="5">
        <f t="shared" si="5"/>
        <v>0</v>
      </c>
      <c r="J66" s="5">
        <f t="shared" si="5"/>
        <v>0</v>
      </c>
      <c r="K66" s="5">
        <f t="shared" si="5"/>
        <v>0</v>
      </c>
      <c r="L66" s="5">
        <f t="shared" si="5"/>
        <v>0</v>
      </c>
      <c r="M66" s="5">
        <f t="shared" si="5"/>
        <v>0</v>
      </c>
      <c r="N66" s="5">
        <f t="shared" si="5"/>
        <v>0</v>
      </c>
      <c r="O66" s="5">
        <f t="shared" si="5"/>
        <v>0</v>
      </c>
      <c r="P66" s="5">
        <f t="shared" si="5"/>
        <v>0</v>
      </c>
      <c r="Q66" s="5">
        <f t="shared" si="5"/>
        <v>0</v>
      </c>
      <c r="R66" s="5">
        <f t="shared" si="5"/>
        <v>0</v>
      </c>
      <c r="S66" s="5">
        <f t="shared" si="5"/>
        <v>0</v>
      </c>
      <c r="T66" s="5">
        <f t="shared" si="5"/>
        <v>0</v>
      </c>
      <c r="U66" s="5">
        <f t="shared" si="5"/>
        <v>0.44444444444444442</v>
      </c>
      <c r="V66" s="5">
        <f t="shared" si="5"/>
        <v>0</v>
      </c>
      <c r="W66" s="5">
        <f t="shared" si="5"/>
        <v>0</v>
      </c>
      <c r="X66" s="5">
        <f t="shared" si="5"/>
        <v>0</v>
      </c>
      <c r="Y66" s="5">
        <f t="shared" si="5"/>
        <v>0</v>
      </c>
      <c r="Z66" s="5">
        <f t="shared" si="5"/>
        <v>0</v>
      </c>
      <c r="AA66" s="5">
        <f t="shared" si="5"/>
        <v>0</v>
      </c>
      <c r="AB66" s="5">
        <f t="shared" si="5"/>
        <v>0</v>
      </c>
      <c r="AC66" s="5">
        <f t="shared" si="5"/>
        <v>1</v>
      </c>
      <c r="AD66" s="5">
        <f t="shared" si="5"/>
        <v>0</v>
      </c>
      <c r="AE66" s="5">
        <f t="shared" si="5"/>
        <v>0</v>
      </c>
      <c r="AF66" s="5">
        <f t="shared" si="5"/>
        <v>0</v>
      </c>
      <c r="AG66" s="5">
        <f t="shared" si="5"/>
        <v>0</v>
      </c>
      <c r="AH66" s="5">
        <f t="shared" si="5"/>
        <v>0</v>
      </c>
      <c r="AJ66" s="5" cm="1">
        <f t="array" ref="AJ66">+SUM($C$39:$AH$39*C66:AH66)</f>
        <v>0.85185185185185186</v>
      </c>
      <c r="AK66" s="7">
        <f t="shared" si="2"/>
        <v>0.42592592592592593</v>
      </c>
      <c r="AL66" s="15">
        <f>+_xlfn.XLOOKUP('SRL Test'!AK66,'SRL Transition Model'!$E$4:$E$12,'SRL Transition Model'!$G$4:$G$12,,-1)</f>
        <v>6</v>
      </c>
    </row>
    <row r="67" spans="1:38" x14ac:dyDescent="0.35">
      <c r="A67" s="17"/>
      <c r="B67" t="s">
        <v>179</v>
      </c>
      <c r="C67" s="5">
        <f t="shared" si="1"/>
        <v>0</v>
      </c>
      <c r="D67" s="5">
        <f t="shared" si="5"/>
        <v>0</v>
      </c>
      <c r="E67" s="5">
        <f t="shared" si="5"/>
        <v>0</v>
      </c>
      <c r="F67" s="5">
        <f t="shared" si="5"/>
        <v>0</v>
      </c>
      <c r="G67" s="5">
        <f t="shared" si="5"/>
        <v>0</v>
      </c>
      <c r="H67" s="5">
        <f t="shared" si="5"/>
        <v>0</v>
      </c>
      <c r="I67" s="5">
        <f t="shared" si="5"/>
        <v>0</v>
      </c>
      <c r="J67" s="5">
        <f t="shared" si="5"/>
        <v>0</v>
      </c>
      <c r="K67" s="5">
        <f t="shared" si="5"/>
        <v>0</v>
      </c>
      <c r="L67" s="5">
        <f t="shared" si="5"/>
        <v>0</v>
      </c>
      <c r="M67" s="5">
        <f t="shared" si="5"/>
        <v>0</v>
      </c>
      <c r="N67" s="5">
        <f t="shared" si="5"/>
        <v>0</v>
      </c>
      <c r="O67" s="5">
        <f t="shared" si="5"/>
        <v>0</v>
      </c>
      <c r="P67" s="5">
        <f t="shared" si="5"/>
        <v>0</v>
      </c>
      <c r="Q67" s="5">
        <f t="shared" si="5"/>
        <v>0</v>
      </c>
      <c r="R67" s="5">
        <f t="shared" si="5"/>
        <v>0</v>
      </c>
      <c r="S67" s="5">
        <f t="shared" si="5"/>
        <v>0</v>
      </c>
      <c r="T67" s="5">
        <f t="shared" si="5"/>
        <v>0</v>
      </c>
      <c r="U67" s="5">
        <f t="shared" si="5"/>
        <v>0</v>
      </c>
      <c r="V67" s="5">
        <f t="shared" si="5"/>
        <v>0</v>
      </c>
      <c r="W67" s="5">
        <f t="shared" si="5"/>
        <v>0</v>
      </c>
      <c r="X67" s="5">
        <f t="shared" si="5"/>
        <v>0</v>
      </c>
      <c r="Y67" s="5">
        <f t="shared" si="5"/>
        <v>0</v>
      </c>
      <c r="Z67" s="5">
        <f t="shared" si="5"/>
        <v>0</v>
      </c>
      <c r="AA67" s="5">
        <f t="shared" si="5"/>
        <v>0</v>
      </c>
      <c r="AB67" s="5">
        <f t="shared" si="5"/>
        <v>0</v>
      </c>
      <c r="AC67" s="5">
        <f t="shared" si="5"/>
        <v>0</v>
      </c>
      <c r="AD67" s="5">
        <f t="shared" si="5"/>
        <v>1</v>
      </c>
      <c r="AE67" s="5">
        <f t="shared" si="5"/>
        <v>0</v>
      </c>
      <c r="AF67" s="5">
        <f t="shared" si="5"/>
        <v>0</v>
      </c>
      <c r="AG67" s="5">
        <f t="shared" si="5"/>
        <v>0</v>
      </c>
      <c r="AH67" s="5">
        <f t="shared" si="5"/>
        <v>0</v>
      </c>
      <c r="AJ67" s="5" cm="1">
        <f t="array" ref="AJ67">+SUM($C$39:$AH$39*C67:AH67)</f>
        <v>0.55555555555555558</v>
      </c>
      <c r="AK67" s="7">
        <f t="shared" si="2"/>
        <v>0.55555555555555558</v>
      </c>
      <c r="AL67" s="15">
        <f>+_xlfn.XLOOKUP('SRL Test'!AK67,'SRL Transition Model'!$E$4:$E$12,'SRL Transition Model'!$G$4:$G$12,,-1)</f>
        <v>7</v>
      </c>
    </row>
    <row r="68" spans="1:38" x14ac:dyDescent="0.35">
      <c r="A68" s="17"/>
      <c r="B68" t="s">
        <v>180</v>
      </c>
      <c r="C68" s="5">
        <f t="shared" si="1"/>
        <v>0</v>
      </c>
      <c r="D68" s="5">
        <f t="shared" si="5"/>
        <v>0</v>
      </c>
      <c r="E68" s="5">
        <f t="shared" si="5"/>
        <v>0</v>
      </c>
      <c r="F68" s="5">
        <f t="shared" si="5"/>
        <v>0</v>
      </c>
      <c r="G68" s="5">
        <f t="shared" si="5"/>
        <v>0</v>
      </c>
      <c r="H68" s="5">
        <f t="shared" si="5"/>
        <v>0</v>
      </c>
      <c r="I68" s="5">
        <f t="shared" si="5"/>
        <v>0</v>
      </c>
      <c r="J68" s="5">
        <f t="shared" si="5"/>
        <v>0</v>
      </c>
      <c r="K68" s="5">
        <f t="shared" si="5"/>
        <v>0</v>
      </c>
      <c r="L68" s="5">
        <f t="shared" si="5"/>
        <v>0</v>
      </c>
      <c r="M68" s="5">
        <f t="shared" si="5"/>
        <v>0</v>
      </c>
      <c r="N68" s="5">
        <f t="shared" si="5"/>
        <v>0</v>
      </c>
      <c r="O68" s="5">
        <f t="shared" si="5"/>
        <v>0</v>
      </c>
      <c r="P68" s="5">
        <f t="shared" si="5"/>
        <v>0</v>
      </c>
      <c r="Q68" s="5">
        <f t="shared" si="5"/>
        <v>0</v>
      </c>
      <c r="R68" s="5">
        <f t="shared" si="5"/>
        <v>0</v>
      </c>
      <c r="S68" s="5">
        <f t="shared" si="5"/>
        <v>0</v>
      </c>
      <c r="T68" s="5">
        <f t="shared" si="5"/>
        <v>0</v>
      </c>
      <c r="U68" s="5">
        <f t="shared" si="5"/>
        <v>0</v>
      </c>
      <c r="V68" s="5">
        <f t="shared" si="5"/>
        <v>0</v>
      </c>
      <c r="W68" s="5">
        <f t="shared" si="5"/>
        <v>0</v>
      </c>
      <c r="X68" s="5">
        <f t="shared" si="5"/>
        <v>0</v>
      </c>
      <c r="Y68" s="5">
        <f t="shared" si="5"/>
        <v>0</v>
      </c>
      <c r="Z68" s="5">
        <f t="shared" si="5"/>
        <v>0</v>
      </c>
      <c r="AA68" s="5">
        <f t="shared" si="5"/>
        <v>0</v>
      </c>
      <c r="AB68" s="5">
        <f t="shared" si="5"/>
        <v>0</v>
      </c>
      <c r="AC68" s="5">
        <f t="shared" si="5"/>
        <v>0</v>
      </c>
      <c r="AD68" s="5">
        <f t="shared" si="5"/>
        <v>0</v>
      </c>
      <c r="AE68" s="5">
        <f t="shared" si="5"/>
        <v>1</v>
      </c>
      <c r="AF68" s="5">
        <f t="shared" si="5"/>
        <v>0</v>
      </c>
      <c r="AG68" s="5">
        <f t="shared" si="5"/>
        <v>0</v>
      </c>
      <c r="AH68" s="5">
        <f t="shared" si="5"/>
        <v>0</v>
      </c>
      <c r="AJ68" s="5" cm="1">
        <f t="array" ref="AJ68">+SUM($C$39:$AH$39*C68:AH68)</f>
        <v>0.66666666666666663</v>
      </c>
      <c r="AK68" s="7">
        <f t="shared" si="2"/>
        <v>0.66666666666666663</v>
      </c>
      <c r="AL68" s="15">
        <f>+_xlfn.XLOOKUP('SRL Test'!AK68,'SRL Transition Model'!$E$4:$E$12,'SRL Transition Model'!$G$4:$G$12,,-1)</f>
        <v>7</v>
      </c>
    </row>
    <row r="69" spans="1:38" x14ac:dyDescent="0.35">
      <c r="A69" s="17"/>
      <c r="B69" t="s">
        <v>181</v>
      </c>
      <c r="C69" s="5">
        <f t="shared" si="1"/>
        <v>0</v>
      </c>
      <c r="D69" s="5">
        <f t="shared" si="5"/>
        <v>0</v>
      </c>
      <c r="E69" s="5">
        <f t="shared" si="5"/>
        <v>0</v>
      </c>
      <c r="F69" s="5">
        <f t="shared" si="5"/>
        <v>0</v>
      </c>
      <c r="G69" s="5">
        <f t="shared" si="5"/>
        <v>0</v>
      </c>
      <c r="H69" s="5">
        <f t="shared" si="5"/>
        <v>0</v>
      </c>
      <c r="I69" s="5">
        <f t="shared" si="5"/>
        <v>0</v>
      </c>
      <c r="J69" s="5">
        <f t="shared" si="5"/>
        <v>0</v>
      </c>
      <c r="K69" s="5">
        <f t="shared" si="5"/>
        <v>0</v>
      </c>
      <c r="L69" s="5">
        <f t="shared" si="5"/>
        <v>0</v>
      </c>
      <c r="M69" s="5">
        <f t="shared" si="5"/>
        <v>0</v>
      </c>
      <c r="N69" s="5">
        <f t="shared" si="5"/>
        <v>0</v>
      </c>
      <c r="O69" s="5">
        <f t="shared" si="5"/>
        <v>0</v>
      </c>
      <c r="P69" s="5">
        <f t="shared" si="5"/>
        <v>0</v>
      </c>
      <c r="Q69" s="5">
        <f t="shared" si="5"/>
        <v>0</v>
      </c>
      <c r="R69" s="5">
        <f t="shared" si="5"/>
        <v>0</v>
      </c>
      <c r="S69" s="5">
        <f t="shared" si="5"/>
        <v>0</v>
      </c>
      <c r="T69" s="5">
        <f t="shared" si="5"/>
        <v>0</v>
      </c>
      <c r="U69" s="5">
        <f t="shared" si="5"/>
        <v>0</v>
      </c>
      <c r="V69" s="5">
        <f t="shared" si="5"/>
        <v>0</v>
      </c>
      <c r="W69" s="5">
        <f t="shared" si="5"/>
        <v>0</v>
      </c>
      <c r="X69" s="5">
        <f t="shared" si="5"/>
        <v>0</v>
      </c>
      <c r="Y69" s="5">
        <f t="shared" si="5"/>
        <v>0</v>
      </c>
      <c r="Z69" s="5">
        <f t="shared" si="5"/>
        <v>0</v>
      </c>
      <c r="AA69" s="5">
        <f t="shared" si="5"/>
        <v>0</v>
      </c>
      <c r="AB69" s="5">
        <f t="shared" si="5"/>
        <v>0.44444444444444442</v>
      </c>
      <c r="AC69" s="5">
        <f t="shared" si="5"/>
        <v>0</v>
      </c>
      <c r="AD69" s="5">
        <f t="shared" si="5"/>
        <v>0</v>
      </c>
      <c r="AE69" s="5">
        <f t="shared" si="5"/>
        <v>0</v>
      </c>
      <c r="AF69" s="5">
        <f t="shared" si="5"/>
        <v>1</v>
      </c>
      <c r="AG69" s="5">
        <f t="shared" si="5"/>
        <v>0</v>
      </c>
      <c r="AH69" s="5">
        <f t="shared" si="5"/>
        <v>0</v>
      </c>
      <c r="AJ69" s="5" cm="1">
        <f t="array" ref="AJ69">+SUM($C$39:$AH$39*C69:AH69)</f>
        <v>0.9135802469135802</v>
      </c>
      <c r="AK69" s="7">
        <f t="shared" si="2"/>
        <v>0.4567901234567901</v>
      </c>
      <c r="AL69" s="15">
        <f>+_xlfn.XLOOKUP('SRL Test'!AK69,'SRL Transition Model'!$E$4:$E$12,'SRL Transition Model'!$G$4:$G$12,,-1)</f>
        <v>6</v>
      </c>
    </row>
    <row r="70" spans="1:38" x14ac:dyDescent="0.35">
      <c r="A70" s="17"/>
      <c r="B70" t="s">
        <v>182</v>
      </c>
      <c r="C70" s="5">
        <f t="shared" si="1"/>
        <v>0</v>
      </c>
      <c r="D70" s="5">
        <f t="shared" si="5"/>
        <v>0</v>
      </c>
      <c r="E70" s="5">
        <f t="shared" si="5"/>
        <v>0</v>
      </c>
      <c r="F70" s="5">
        <f t="shared" si="5"/>
        <v>0</v>
      </c>
      <c r="G70" s="5">
        <f t="shared" si="5"/>
        <v>0</v>
      </c>
      <c r="H70" s="5">
        <f t="shared" si="5"/>
        <v>0</v>
      </c>
      <c r="I70" s="5">
        <f t="shared" si="5"/>
        <v>0</v>
      </c>
      <c r="J70" s="5">
        <f t="shared" si="5"/>
        <v>0</v>
      </c>
      <c r="K70" s="5">
        <f t="shared" si="5"/>
        <v>0</v>
      </c>
      <c r="L70" s="5">
        <f t="shared" si="5"/>
        <v>0</v>
      </c>
      <c r="M70" s="5">
        <f t="shared" si="5"/>
        <v>0</v>
      </c>
      <c r="N70" s="5">
        <f t="shared" si="5"/>
        <v>0</v>
      </c>
      <c r="O70" s="5">
        <f t="shared" si="5"/>
        <v>0</v>
      </c>
      <c r="P70" s="5">
        <f t="shared" si="5"/>
        <v>0</v>
      </c>
      <c r="Q70" s="5">
        <f t="shared" si="5"/>
        <v>0</v>
      </c>
      <c r="R70" s="5">
        <f t="shared" si="5"/>
        <v>0</v>
      </c>
      <c r="S70" s="5">
        <f t="shared" si="5"/>
        <v>0</v>
      </c>
      <c r="T70" s="5">
        <f t="shared" si="5"/>
        <v>0</v>
      </c>
      <c r="U70" s="5">
        <f t="shared" si="5"/>
        <v>0</v>
      </c>
      <c r="V70" s="5">
        <f t="shared" si="5"/>
        <v>0</v>
      </c>
      <c r="W70" s="5">
        <f t="shared" si="5"/>
        <v>0</v>
      </c>
      <c r="X70" s="5">
        <f t="shared" si="5"/>
        <v>0</v>
      </c>
      <c r="Y70" s="5">
        <f t="shared" si="5"/>
        <v>0</v>
      </c>
      <c r="Z70" s="5">
        <f t="shared" si="5"/>
        <v>0</v>
      </c>
      <c r="AA70" s="5">
        <f t="shared" si="5"/>
        <v>0</v>
      </c>
      <c r="AB70" s="5">
        <f t="shared" si="5"/>
        <v>0</v>
      </c>
      <c r="AC70" s="5">
        <f t="shared" si="5"/>
        <v>0</v>
      </c>
      <c r="AD70" s="5">
        <f t="shared" si="5"/>
        <v>0</v>
      </c>
      <c r="AE70" s="5">
        <f t="shared" si="5"/>
        <v>0</v>
      </c>
      <c r="AF70" s="5">
        <f t="shared" si="5"/>
        <v>0</v>
      </c>
      <c r="AG70" s="5">
        <f t="shared" si="5"/>
        <v>1</v>
      </c>
      <c r="AH70" s="5">
        <f t="shared" si="5"/>
        <v>0</v>
      </c>
      <c r="AJ70" s="5" cm="1">
        <f t="array" ref="AJ70">+SUM($C$39:$AH$39*C70:AH70)</f>
        <v>0.66666666666666663</v>
      </c>
      <c r="AK70" s="7">
        <f t="shared" si="2"/>
        <v>0.66666666666666663</v>
      </c>
      <c r="AL70" s="15">
        <f>+_xlfn.XLOOKUP('SRL Test'!AK70,'SRL Transition Model'!$E$4:$E$12,'SRL Transition Model'!$G$4:$G$12,,-1)</f>
        <v>7</v>
      </c>
    </row>
    <row r="71" spans="1:38" x14ac:dyDescent="0.35">
      <c r="A71" s="17"/>
      <c r="B71" t="s">
        <v>183</v>
      </c>
      <c r="C71" s="5">
        <f t="shared" si="1"/>
        <v>0</v>
      </c>
      <c r="D71" s="5">
        <f t="shared" si="5"/>
        <v>0</v>
      </c>
      <c r="E71" s="5">
        <f t="shared" si="5"/>
        <v>0</v>
      </c>
      <c r="F71" s="5">
        <f t="shared" si="5"/>
        <v>0</v>
      </c>
      <c r="G71" s="5">
        <f t="shared" si="5"/>
        <v>0</v>
      </c>
      <c r="H71" s="5">
        <f t="shared" si="5"/>
        <v>0</v>
      </c>
      <c r="I71" s="5">
        <f t="shared" si="5"/>
        <v>0</v>
      </c>
      <c r="J71" s="5">
        <f t="shared" si="5"/>
        <v>0</v>
      </c>
      <c r="K71" s="5">
        <f t="shared" si="5"/>
        <v>0</v>
      </c>
      <c r="L71" s="5">
        <f t="shared" si="5"/>
        <v>0</v>
      </c>
      <c r="M71" s="5">
        <f t="shared" si="5"/>
        <v>0</v>
      </c>
      <c r="N71" s="5">
        <f t="shared" si="5"/>
        <v>0</v>
      </c>
      <c r="O71" s="5">
        <f t="shared" si="5"/>
        <v>0</v>
      </c>
      <c r="P71" s="5">
        <f t="shared" si="5"/>
        <v>0</v>
      </c>
      <c r="Q71" s="5">
        <f t="shared" si="5"/>
        <v>0</v>
      </c>
      <c r="R71" s="5">
        <f t="shared" si="5"/>
        <v>0</v>
      </c>
      <c r="S71" s="5">
        <f t="shared" si="5"/>
        <v>0</v>
      </c>
      <c r="T71" s="5">
        <f t="shared" si="5"/>
        <v>0</v>
      </c>
      <c r="U71" s="5">
        <f t="shared" si="5"/>
        <v>0</v>
      </c>
      <c r="V71" s="5">
        <f t="shared" si="5"/>
        <v>0</v>
      </c>
      <c r="W71" s="5">
        <f t="shared" si="5"/>
        <v>0</v>
      </c>
      <c r="X71" s="5">
        <f t="shared" si="5"/>
        <v>0</v>
      </c>
      <c r="Y71" s="5">
        <f t="shared" si="5"/>
        <v>0</v>
      </c>
      <c r="Z71" s="5">
        <f t="shared" si="5"/>
        <v>0</v>
      </c>
      <c r="AA71" s="5">
        <f t="shared" si="5"/>
        <v>0</v>
      </c>
      <c r="AB71" s="5">
        <f t="shared" si="5"/>
        <v>0.44444444444444442</v>
      </c>
      <c r="AC71" s="5">
        <f t="shared" si="5"/>
        <v>0</v>
      </c>
      <c r="AD71" s="5">
        <f t="shared" si="5"/>
        <v>0</v>
      </c>
      <c r="AE71" s="5">
        <f t="shared" si="5"/>
        <v>0</v>
      </c>
      <c r="AF71" s="5">
        <f t="shared" si="5"/>
        <v>0</v>
      </c>
      <c r="AG71" s="5">
        <f t="shared" si="5"/>
        <v>0</v>
      </c>
      <c r="AH71" s="5">
        <f t="shared" si="5"/>
        <v>1</v>
      </c>
      <c r="AJ71" s="5" cm="1">
        <f t="array" ref="AJ71">+SUM($C$39:$AH$39*C71:AH71)</f>
        <v>0.9135802469135802</v>
      </c>
      <c r="AK71" s="7">
        <f t="shared" si="2"/>
        <v>0.4567901234567901</v>
      </c>
      <c r="AL71" s="15">
        <f>+_xlfn.XLOOKUP('SRL Test'!AK71,'SRL Transition Model'!$E$4:$E$12,'SRL Transition Model'!$G$4:$G$12,,-1)</f>
        <v>6</v>
      </c>
    </row>
    <row r="74" spans="1:38" x14ac:dyDescent="0.3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</row>
    <row r="75" spans="1:38" x14ac:dyDescent="0.3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</row>
    <row r="76" spans="1:38" x14ac:dyDescent="0.3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5"/>
      <c r="AK76" s="5"/>
    </row>
    <row r="77" spans="1:38" x14ac:dyDescent="0.35">
      <c r="A77" s="14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</row>
    <row r="78" spans="1:38" x14ac:dyDescent="0.3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</row>
    <row r="79" spans="1:38" x14ac:dyDescent="0.3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</row>
    <row r="80" spans="1:38" x14ac:dyDescent="0.3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</row>
    <row r="81" spans="1:37" x14ac:dyDescent="0.3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</row>
    <row r="82" spans="1:37" x14ac:dyDescent="0.3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5"/>
      <c r="AK82" s="5"/>
    </row>
    <row r="83" spans="1:37" x14ac:dyDescent="0.35">
      <c r="A83" s="14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</row>
    <row r="84" spans="1:37" x14ac:dyDescent="0.3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</row>
    <row r="85" spans="1:37" x14ac:dyDescent="0.3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</row>
    <row r="86" spans="1:37" x14ac:dyDescent="0.3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</row>
    <row r="87" spans="1:37" x14ac:dyDescent="0.3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</row>
    <row r="88" spans="1:37" x14ac:dyDescent="0.3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5"/>
      <c r="AK88" s="5"/>
    </row>
    <row r="89" spans="1:37" x14ac:dyDescent="0.35">
      <c r="A89" s="14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</row>
    <row r="90" spans="1:37" x14ac:dyDescent="0.3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</row>
    <row r="91" spans="1:37" x14ac:dyDescent="0.3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</row>
    <row r="92" spans="1:37" x14ac:dyDescent="0.3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</row>
    <row r="93" spans="1:37" x14ac:dyDescent="0.3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</row>
    <row r="94" spans="1:37" x14ac:dyDescent="0.3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5"/>
      <c r="AK94" s="5"/>
    </row>
    <row r="95" spans="1:37" x14ac:dyDescent="0.35">
      <c r="A95" s="14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</row>
    <row r="96" spans="1:37" x14ac:dyDescent="0.3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</row>
    <row r="97" spans="1:37" x14ac:dyDescent="0.3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</row>
    <row r="98" spans="1:37" x14ac:dyDescent="0.3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</row>
    <row r="99" spans="1:37" x14ac:dyDescent="0.3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</row>
    <row r="100" spans="1:37" x14ac:dyDescent="0.3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5"/>
      <c r="AK100" s="5"/>
    </row>
    <row r="101" spans="1:37" x14ac:dyDescent="0.35">
      <c r="A101" s="14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</row>
    <row r="102" spans="1:37" x14ac:dyDescent="0.3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</row>
    <row r="103" spans="1:37" x14ac:dyDescent="0.3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</row>
    <row r="104" spans="1:37" x14ac:dyDescent="0.3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 spans="1:37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</row>
    <row r="106" spans="1:37" x14ac:dyDescent="0.3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5"/>
      <c r="AK106" s="5"/>
    </row>
    <row r="107" spans="1:37" x14ac:dyDescent="0.35">
      <c r="A107" s="14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</row>
    <row r="108" spans="1:37" x14ac:dyDescent="0.3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</row>
    <row r="109" spans="1:37" x14ac:dyDescent="0.3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</row>
    <row r="110" spans="1:37" x14ac:dyDescent="0.3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</row>
    <row r="111" spans="1:37" x14ac:dyDescent="0.3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</row>
    <row r="112" spans="1:37" x14ac:dyDescent="0.3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5"/>
      <c r="AK112" s="5"/>
    </row>
    <row r="113" spans="1:37" x14ac:dyDescent="0.35">
      <c r="A113" s="14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</row>
    <row r="114" spans="1:37" x14ac:dyDescent="0.3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</row>
    <row r="115" spans="1:37" x14ac:dyDescent="0.3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</row>
    <row r="116" spans="1:37" x14ac:dyDescent="0.3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</row>
    <row r="117" spans="1:37" x14ac:dyDescent="0.3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</row>
    <row r="118" spans="1:37" x14ac:dyDescent="0.3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5"/>
      <c r="AK118" s="5"/>
    </row>
    <row r="119" spans="1:37" x14ac:dyDescent="0.35">
      <c r="A119" s="14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</row>
    <row r="120" spans="1:37" x14ac:dyDescent="0.3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</row>
    <row r="121" spans="1:37" x14ac:dyDescent="0.3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</row>
    <row r="122" spans="1:37" x14ac:dyDescent="0.3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</row>
    <row r="123" spans="1:37" x14ac:dyDescent="0.3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</row>
    <row r="124" spans="1:37" x14ac:dyDescent="0.3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5"/>
      <c r="AK124" s="5"/>
    </row>
    <row r="125" spans="1:37" x14ac:dyDescent="0.35">
      <c r="A125" s="14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</row>
    <row r="126" spans="1:37" x14ac:dyDescent="0.3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</row>
    <row r="127" spans="1:37" x14ac:dyDescent="0.3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</row>
    <row r="128" spans="1:37" x14ac:dyDescent="0.3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</row>
    <row r="129" spans="1:37" x14ac:dyDescent="0.3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</row>
    <row r="130" spans="1:37" x14ac:dyDescent="0.3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</row>
    <row r="131" spans="1:37" x14ac:dyDescent="0.3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</row>
    <row r="132" spans="1:37" x14ac:dyDescent="0.3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</row>
    <row r="133" spans="1:37" x14ac:dyDescent="0.3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</row>
    <row r="134" spans="1:37" x14ac:dyDescent="0.3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</row>
    <row r="135" spans="1:37" x14ac:dyDescent="0.3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</row>
  </sheetData>
  <mergeCells count="2">
    <mergeCell ref="A4:A35"/>
    <mergeCell ref="A40:A71"/>
  </mergeCells>
  <conditionalFormatting sqref="AK40:AK7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4</vt:i4>
      </vt:variant>
    </vt:vector>
  </HeadingPairs>
  <TitlesOfParts>
    <vt:vector size="4" baseType="lpstr">
      <vt:lpstr>SRL beregninger</vt:lpstr>
      <vt:lpstr>SRL Transition Model</vt:lpstr>
      <vt:lpstr>Test data</vt:lpstr>
      <vt:lpstr>SRL 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Haldborg Schlünzen</dc:creator>
  <cp:lastModifiedBy>georg</cp:lastModifiedBy>
  <dcterms:created xsi:type="dcterms:W3CDTF">2020-10-26T10:04:29Z</dcterms:created>
  <dcterms:modified xsi:type="dcterms:W3CDTF">2020-12-10T18:35:33Z</dcterms:modified>
</cp:coreProperties>
</file>